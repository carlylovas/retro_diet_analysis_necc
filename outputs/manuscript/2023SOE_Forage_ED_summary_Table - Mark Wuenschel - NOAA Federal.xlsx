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9"/>
  <workbookPr/>
  <mc:AlternateContent xmlns:mc="http://schemas.openxmlformats.org/markup-compatibility/2006">
    <mc:Choice Requires="x15">
      <x15ac:absPath xmlns:x15ac="http://schemas.microsoft.com/office/spreadsheetml/2010/11/ac" url="/Users/natehermann/Downloads/"/>
    </mc:Choice>
  </mc:AlternateContent>
  <xr:revisionPtr revIDLastSave="0" documentId="13_ncr:1_{EF97EAD2-DD46-EE41-99F9-FD09DE324E5A}" xr6:coauthVersionLast="47" xr6:coauthVersionMax="47" xr10:uidLastSave="{00000000-0000-0000-0000-000000000000}"/>
  <bookViews>
    <workbookView xWindow="0" yWindow="500" windowWidth="25600" windowHeight="14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6" i="1" l="1"/>
  <c r="J136" i="1" s="1"/>
  <c r="H135" i="1"/>
  <c r="E135" i="1"/>
  <c r="I135" i="1" s="1"/>
  <c r="E119" i="1"/>
  <c r="K119" i="1" s="1"/>
  <c r="E118" i="1"/>
  <c r="J118" i="1" s="1"/>
  <c r="E102" i="1"/>
  <c r="K102" i="1" s="1"/>
  <c r="E101" i="1"/>
  <c r="J101" i="1" s="1"/>
  <c r="E85" i="1"/>
  <c r="K85" i="1" s="1"/>
  <c r="E84" i="1"/>
  <c r="J84" i="1" s="1"/>
  <c r="E68" i="1"/>
  <c r="K68" i="1" s="1"/>
  <c r="E67" i="1"/>
  <c r="J67" i="1" s="1"/>
  <c r="E51" i="1"/>
  <c r="K51" i="1" s="1"/>
  <c r="E50" i="1"/>
  <c r="K50" i="1" s="1"/>
  <c r="E34" i="1"/>
  <c r="K34" i="1" s="1"/>
  <c r="E33" i="1"/>
  <c r="F33" i="1" s="1"/>
  <c r="E17" i="1"/>
  <c r="J17" i="1" s="1"/>
  <c r="E16" i="1"/>
  <c r="K16" i="1" s="1"/>
  <c r="E139" i="1"/>
  <c r="F135" i="1" l="1"/>
  <c r="J135" i="1"/>
  <c r="G136" i="1"/>
  <c r="K136" i="1"/>
  <c r="G135" i="1"/>
  <c r="K135" i="1"/>
  <c r="H136" i="1"/>
  <c r="I136" i="1"/>
  <c r="F136" i="1"/>
  <c r="G101" i="1"/>
  <c r="H118" i="1"/>
  <c r="H102" i="1"/>
  <c r="G118" i="1"/>
  <c r="K118" i="1"/>
  <c r="H119" i="1"/>
  <c r="I119" i="1"/>
  <c r="H84" i="1"/>
  <c r="H101" i="1"/>
  <c r="I118" i="1"/>
  <c r="F119" i="1"/>
  <c r="J119" i="1"/>
  <c r="K101" i="1"/>
  <c r="F118" i="1"/>
  <c r="G119" i="1"/>
  <c r="H67" i="1"/>
  <c r="I102" i="1"/>
  <c r="I101" i="1"/>
  <c r="F102" i="1"/>
  <c r="J102" i="1"/>
  <c r="F101" i="1"/>
  <c r="G102" i="1"/>
  <c r="G84" i="1"/>
  <c r="K84" i="1"/>
  <c r="H85" i="1"/>
  <c r="I85" i="1"/>
  <c r="G17" i="1"/>
  <c r="I84" i="1"/>
  <c r="F85" i="1"/>
  <c r="J85" i="1"/>
  <c r="F34" i="1"/>
  <c r="F84" i="1"/>
  <c r="G85" i="1"/>
  <c r="G67" i="1"/>
  <c r="K67" i="1"/>
  <c r="H68" i="1"/>
  <c r="J33" i="1"/>
  <c r="I68" i="1"/>
  <c r="G33" i="1"/>
  <c r="I67" i="1"/>
  <c r="F68" i="1"/>
  <c r="J68" i="1"/>
  <c r="I33" i="1"/>
  <c r="F51" i="1"/>
  <c r="F67" i="1"/>
  <c r="G68" i="1"/>
  <c r="H51" i="1"/>
  <c r="J51" i="1"/>
  <c r="J50" i="1"/>
  <c r="G50" i="1"/>
  <c r="G16" i="1"/>
  <c r="K33" i="1"/>
  <c r="H50" i="1"/>
  <c r="I51" i="1"/>
  <c r="I50" i="1"/>
  <c r="H33" i="1"/>
  <c r="F50" i="1"/>
  <c r="G51" i="1"/>
  <c r="J34" i="1"/>
  <c r="I34" i="1"/>
  <c r="H34" i="1"/>
  <c r="G34" i="1"/>
  <c r="H17" i="1"/>
  <c r="K17" i="1"/>
  <c r="I17" i="1"/>
  <c r="F17" i="1"/>
  <c r="I16" i="1"/>
  <c r="H16" i="1"/>
  <c r="F16" i="1"/>
  <c r="J16" i="1"/>
</calcChain>
</file>

<file path=xl/sharedStrings.xml><?xml version="1.0" encoding="utf-8"?>
<sst xmlns="http://schemas.openxmlformats.org/spreadsheetml/2006/main" count="297" uniqueCount="21">
  <si>
    <t>Alewife</t>
  </si>
  <si>
    <t>Grand Total</t>
  </si>
  <si>
    <t>Silver hake</t>
  </si>
  <si>
    <t>Sand lance</t>
  </si>
  <si>
    <t>Atl. Mackerel</t>
  </si>
  <si>
    <t>Butterfish</t>
  </si>
  <si>
    <t>Spring</t>
  </si>
  <si>
    <t>Fall</t>
  </si>
  <si>
    <t>Year</t>
  </si>
  <si>
    <t>Season</t>
  </si>
  <si>
    <t>N</t>
  </si>
  <si>
    <t>Length (mm)</t>
  </si>
  <si>
    <t>StdDev of Length</t>
  </si>
  <si>
    <t>Wet Weight (g)</t>
  </si>
  <si>
    <t>StdDev of Wet weight</t>
  </si>
  <si>
    <t>StdDev of ED</t>
  </si>
  <si>
    <t>Atl. Herring</t>
  </si>
  <si>
    <t>Illex squid</t>
  </si>
  <si>
    <t>Loligo squid</t>
  </si>
  <si>
    <t>Total</t>
  </si>
  <si>
    <t>Energy Density (kJ/GWW)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</si>
</sst>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9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T139"/>
  <sheetViews>
    <sheetView tabSelected="1" topLeftCell="A117" workbookViewId="0">
      <selection activeCell="J135" sqref="J135:K136"/>
    </sheetView>
  </sheetViews>
  <sheetFormatPr baseColWidth="10" defaultColWidth="8.83203125" defaultRowHeight="15" x14ac:dyDescent="0.2"/>
  <cols>
    <col min="1" max="1" width="14" customWidth="1"/>
    <col min="5" max="5" width="9.5" bestFit="1" customWidth="1"/>
    <col min="6" max="6" width="12.5" style="2" customWidth="1"/>
    <col min="7" max="7" width="11.5" style="1" bestFit="1" customWidth="1"/>
    <col min="8" max="9" width="12.5" style="1" bestFit="1" customWidth="1"/>
    <col min="10" max="11" width="10.5" style="1" bestFit="1" customWidth="1"/>
    <col min="15" max="15" width="12.5" bestFit="1" customWidth="1"/>
    <col min="16" max="16" width="11.5" bestFit="1" customWidth="1"/>
    <col min="17" max="17" width="12.5" bestFit="1" customWidth="1"/>
    <col min="18" max="18" width="11.5" bestFit="1" customWidth="1"/>
    <col min="19" max="20" width="10.5" bestFit="1" customWidth="1"/>
  </cols>
  <sheetData>
    <row r="3" spans="1:11" x14ac:dyDescent="0.2">
      <c r="C3" t="s">
        <v>8</v>
      </c>
      <c r="D3" t="s">
        <v>9</v>
      </c>
      <c r="E3" t="s">
        <v>10</v>
      </c>
      <c r="F3" s="2" t="s">
        <v>11</v>
      </c>
      <c r="G3" s="1" t="s">
        <v>12</v>
      </c>
      <c r="H3" s="1" t="s">
        <v>13</v>
      </c>
      <c r="I3" s="1" t="s">
        <v>14</v>
      </c>
      <c r="J3" s="1" t="s">
        <v>20</v>
      </c>
      <c r="K3" s="1" t="s">
        <v>15</v>
      </c>
    </row>
    <row r="4" spans="1:11" x14ac:dyDescent="0.2">
      <c r="A4" t="s">
        <v>0</v>
      </c>
      <c r="B4">
        <v>201702</v>
      </c>
      <c r="C4">
        <v>2017</v>
      </c>
      <c r="D4" t="s">
        <v>6</v>
      </c>
      <c r="E4">
        <v>163</v>
      </c>
      <c r="F4" s="2">
        <v>204.67791411042944</v>
      </c>
      <c r="G4" s="1">
        <v>29.519280212501496</v>
      </c>
      <c r="H4" s="1">
        <v>141.19762576687128</v>
      </c>
      <c r="I4" s="1">
        <v>59.666597300299316</v>
      </c>
      <c r="J4" s="1">
        <v>6.866339609450347</v>
      </c>
      <c r="K4" s="1">
        <v>1.4161721800935116</v>
      </c>
    </row>
    <row r="5" spans="1:11" x14ac:dyDescent="0.2">
      <c r="A5" t="s">
        <v>0</v>
      </c>
      <c r="B5">
        <v>201704</v>
      </c>
      <c r="C5">
        <v>2017</v>
      </c>
      <c r="D5" t="s">
        <v>7</v>
      </c>
      <c r="E5">
        <v>88</v>
      </c>
      <c r="F5" s="2">
        <v>206.26136363636363</v>
      </c>
      <c r="G5" s="1">
        <v>32.67059358927299</v>
      </c>
      <c r="H5" s="1">
        <v>136.68977272727273</v>
      </c>
      <c r="I5" s="1">
        <v>63.987332627086133</v>
      </c>
      <c r="J5" s="1">
        <v>7.7889881193628465</v>
      </c>
      <c r="K5" s="1">
        <v>1.5233491436179445</v>
      </c>
    </row>
    <row r="6" spans="1:11" x14ac:dyDescent="0.2">
      <c r="A6" t="s">
        <v>0</v>
      </c>
      <c r="B6">
        <v>201802</v>
      </c>
      <c r="C6">
        <v>2018</v>
      </c>
      <c r="D6" t="s">
        <v>6</v>
      </c>
      <c r="E6">
        <v>123</v>
      </c>
      <c r="F6" s="2">
        <v>179.96341463414635</v>
      </c>
      <c r="G6" s="1">
        <v>51.529164538936286</v>
      </c>
      <c r="H6" s="1">
        <v>105.00332520325203</v>
      </c>
      <c r="I6" s="1">
        <v>69.224192482072482</v>
      </c>
      <c r="J6" s="1">
        <v>6.6992717623160329</v>
      </c>
      <c r="K6" s="1">
        <v>1.253737576614151</v>
      </c>
    </row>
    <row r="7" spans="1:11" x14ac:dyDescent="0.2">
      <c r="A7" t="s">
        <v>0</v>
      </c>
      <c r="B7">
        <v>201804</v>
      </c>
      <c r="C7">
        <v>2018</v>
      </c>
      <c r="D7" t="s">
        <v>7</v>
      </c>
      <c r="E7">
        <v>47</v>
      </c>
      <c r="F7" s="2">
        <v>216.2340425531915</v>
      </c>
      <c r="G7" s="1">
        <v>16.979799719663646</v>
      </c>
      <c r="H7" s="1">
        <v>153.18525531914892</v>
      </c>
      <c r="I7" s="1">
        <v>39.453122292526466</v>
      </c>
      <c r="J7" s="1">
        <v>7.4114635735619467</v>
      </c>
      <c r="K7" s="1">
        <v>1.6247114408329244</v>
      </c>
    </row>
    <row r="8" spans="1:11" x14ac:dyDescent="0.2">
      <c r="A8" t="s">
        <v>0</v>
      </c>
      <c r="B8">
        <v>201902</v>
      </c>
      <c r="C8">
        <v>2019</v>
      </c>
      <c r="D8" t="s">
        <v>6</v>
      </c>
      <c r="E8">
        <v>113</v>
      </c>
      <c r="F8" s="2">
        <v>207.51327433628319</v>
      </c>
      <c r="G8" s="1">
        <v>49.744367061623855</v>
      </c>
      <c r="H8" s="1">
        <v>136.02435398230088</v>
      </c>
      <c r="I8" s="1">
        <v>73.621731253768772</v>
      </c>
      <c r="J8" s="1">
        <v>6.4646330250731081</v>
      </c>
      <c r="K8" s="1">
        <v>1.2697509626924801</v>
      </c>
    </row>
    <row r="9" spans="1:11" x14ac:dyDescent="0.2">
      <c r="A9" t="s">
        <v>0</v>
      </c>
      <c r="B9">
        <v>201904</v>
      </c>
      <c r="C9">
        <v>2019</v>
      </c>
      <c r="D9" t="s">
        <v>7</v>
      </c>
      <c r="E9">
        <v>83</v>
      </c>
      <c r="F9" s="2">
        <v>205.95180722891567</v>
      </c>
      <c r="G9" s="1">
        <v>37.56746893661925</v>
      </c>
      <c r="H9" s="1">
        <v>130.16114457831324</v>
      </c>
      <c r="I9" s="1">
        <v>67.253551823175201</v>
      </c>
      <c r="J9" s="1">
        <v>7.597769965087271</v>
      </c>
      <c r="K9" s="1">
        <v>2.0548429728298179</v>
      </c>
    </row>
    <row r="10" spans="1:11" x14ac:dyDescent="0.2">
      <c r="A10" t="s">
        <v>0</v>
      </c>
      <c r="B10">
        <v>202002</v>
      </c>
      <c r="C10">
        <v>2020</v>
      </c>
      <c r="D10" t="s">
        <v>6</v>
      </c>
      <c r="E10">
        <v>35</v>
      </c>
      <c r="F10" s="2">
        <v>214.34285714285716</v>
      </c>
      <c r="G10" s="1">
        <v>34.47159346915258</v>
      </c>
      <c r="H10" s="1">
        <v>142.53734285714285</v>
      </c>
      <c r="I10" s="1">
        <v>71.905408348477877</v>
      </c>
      <c r="J10" s="1">
        <v>6.3740756609523412</v>
      </c>
      <c r="K10" s="1">
        <v>1.4833613129712429</v>
      </c>
    </row>
    <row r="11" spans="1:11" x14ac:dyDescent="0.2">
      <c r="A11" t="s">
        <v>0</v>
      </c>
      <c r="B11">
        <v>202004</v>
      </c>
      <c r="C11">
        <v>2020</v>
      </c>
      <c r="D11" t="s">
        <v>7</v>
      </c>
    </row>
    <row r="12" spans="1:11" x14ac:dyDescent="0.2">
      <c r="A12" t="s">
        <v>0</v>
      </c>
      <c r="B12">
        <v>202102</v>
      </c>
      <c r="C12">
        <v>2021</v>
      </c>
      <c r="D12" t="s">
        <v>6</v>
      </c>
      <c r="E12">
        <v>110</v>
      </c>
      <c r="F12" s="2">
        <v>192.06363636363636</v>
      </c>
      <c r="G12" s="1">
        <v>41.342666783207044</v>
      </c>
      <c r="H12" s="1">
        <v>104.3073454545455</v>
      </c>
      <c r="I12" s="1">
        <v>61.505918709366739</v>
      </c>
      <c r="J12" s="1">
        <v>6.2263543476208474</v>
      </c>
      <c r="K12" s="1">
        <v>1.1983870843670477</v>
      </c>
    </row>
    <row r="13" spans="1:11" x14ac:dyDescent="0.2">
      <c r="A13" t="s">
        <v>0</v>
      </c>
      <c r="B13">
        <v>202104</v>
      </c>
      <c r="C13">
        <v>2021</v>
      </c>
      <c r="D13" t="s">
        <v>7</v>
      </c>
      <c r="E13">
        <v>52</v>
      </c>
      <c r="F13">
        <v>235.59615384615384</v>
      </c>
      <c r="G13">
        <v>25.903485733629243</v>
      </c>
      <c r="H13">
        <v>186.80471153846153</v>
      </c>
      <c r="I13">
        <v>62.212869957954439</v>
      </c>
      <c r="J13">
        <v>8.725890926101787</v>
      </c>
      <c r="K13">
        <v>1.8896305717613284</v>
      </c>
    </row>
    <row r="14" spans="1:11" x14ac:dyDescent="0.2">
      <c r="A14" t="s">
        <v>0</v>
      </c>
      <c r="B14">
        <v>202202</v>
      </c>
      <c r="C14">
        <v>2022</v>
      </c>
      <c r="D14" t="s">
        <v>6</v>
      </c>
      <c r="E14">
        <v>86</v>
      </c>
      <c r="F14">
        <v>186.94186046511629</v>
      </c>
      <c r="G14">
        <v>50.772237585506574</v>
      </c>
      <c r="H14">
        <v>103.88260465116282</v>
      </c>
      <c r="I14">
        <v>79.044342731120238</v>
      </c>
      <c r="J14">
        <v>5.8423529535554444</v>
      </c>
      <c r="K14">
        <v>1.6049588051100381</v>
      </c>
    </row>
    <row r="15" spans="1:11" x14ac:dyDescent="0.2">
      <c r="F15"/>
      <c r="G15"/>
      <c r="H15"/>
      <c r="I15"/>
      <c r="J15"/>
      <c r="K15"/>
    </row>
    <row r="16" spans="1:11" x14ac:dyDescent="0.2">
      <c r="A16" t="s">
        <v>0</v>
      </c>
      <c r="B16" t="s">
        <v>6</v>
      </c>
      <c r="E16">
        <f>SUM(E4,E6,E8,E10,E12,E14)</f>
        <v>630</v>
      </c>
      <c r="F16" s="2">
        <f>(F4*E4+F6*E6+F8*E8+F10*E10+F12*E12+F14*E14)/E16</f>
        <v>196.27460317460319</v>
      </c>
      <c r="G16" s="2">
        <f>(G4*E4+G6*E6+G8*E8+G10*E10+G12*E12+G14*E14)/E16</f>
        <v>42.684849112408074</v>
      </c>
      <c r="H16" s="2">
        <f>(H4*E4+H6*E6+H8*E8+H10*E10+H12*E12+H14*E14)/E16</f>
        <v>121.74268730158737</v>
      </c>
      <c r="I16" s="2">
        <f>(I4*E4+I6*E6+I8*E8+I10*E10+I12*E12+I14*E14)/E16</f>
        <v>67.68196903495712</v>
      </c>
      <c r="J16" s="2">
        <f>(J4*E4+J6*E6+J8*E8+J10*E10+J12*E12+J14*E14)/E16</f>
        <v>6.4827957068506867</v>
      </c>
      <c r="K16" s="2">
        <f>(K4*E4+K6*E6+K8*E8+K10*E10+K12*E12+K14*E14)/E16</f>
        <v>1.3496735373601036</v>
      </c>
    </row>
    <row r="17" spans="1:20" x14ac:dyDescent="0.2">
      <c r="A17" t="s">
        <v>0</v>
      </c>
      <c r="B17" t="s">
        <v>7</v>
      </c>
      <c r="E17">
        <f>SUM(E5,E7,E9,E11,E13)</f>
        <v>270</v>
      </c>
      <c r="F17" s="2">
        <f>(FF5*E5+F7*E7+F9*E9+F11*E11+F13*E13)/E17</f>
        <v>146.32592592592593</v>
      </c>
      <c r="G17" s="2">
        <f>(G5*E5+G7*E7+G9*E9+G11*E11+G13*E13)/E17</f>
        <v>30.141274083586417</v>
      </c>
      <c r="H17" s="2">
        <f>(H5*E5+H7*E7+H9*E9+H11*E11+H13*E13)/E17</f>
        <v>147.20602592592593</v>
      </c>
      <c r="I17" s="2">
        <f>(I5*E5+I7*E7+I9*E9+I11*E11+I13*E13)/E17</f>
        <v>60.378874289146282</v>
      </c>
      <c r="J17" s="2">
        <f>(J5*E5+J7*E7+J9*E9+J13*E13)/E17</f>
        <v>7.844929547114365</v>
      </c>
      <c r="K17" s="2">
        <f>(K5*E5+K7*E7+K9*E9+K11*E11+K13*E13)/E17</f>
        <v>1.7749219216073724</v>
      </c>
    </row>
    <row r="18" spans="1:20" x14ac:dyDescent="0.2">
      <c r="A18" t="s">
        <v>0</v>
      </c>
      <c r="B18" t="s">
        <v>19</v>
      </c>
      <c r="E18">
        <v>900</v>
      </c>
      <c r="F18" s="1">
        <v>201.45777777777778</v>
      </c>
      <c r="G18" s="1">
        <v>42.384625777355772</v>
      </c>
      <c r="H18" s="1">
        <v>129.38168888888913</v>
      </c>
      <c r="I18" s="1">
        <v>69.308944912950537</v>
      </c>
      <c r="J18" s="1">
        <v>6.8914358589297873</v>
      </c>
      <c r="K18" s="1">
        <v>1.6599400711357157</v>
      </c>
    </row>
    <row r="20" spans="1:20" x14ac:dyDescent="0.2">
      <c r="C20" t="s">
        <v>8</v>
      </c>
      <c r="D20" t="s">
        <v>9</v>
      </c>
      <c r="E20" t="s">
        <v>10</v>
      </c>
      <c r="F20" s="2" t="s">
        <v>11</v>
      </c>
      <c r="G20" s="1" t="s">
        <v>12</v>
      </c>
      <c r="H20" s="1" t="s">
        <v>13</v>
      </c>
      <c r="I20" s="1" t="s">
        <v>14</v>
      </c>
      <c r="J20" s="1" t="s">
        <v>20</v>
      </c>
      <c r="K20" s="1" t="s">
        <v>15</v>
      </c>
      <c r="O20" s="1"/>
      <c r="P20" s="1"/>
      <c r="Q20" s="1"/>
      <c r="R20" s="1"/>
      <c r="S20" s="1"/>
      <c r="T20" s="1"/>
    </row>
    <row r="21" spans="1:20" x14ac:dyDescent="0.2">
      <c r="A21" t="s">
        <v>16</v>
      </c>
      <c r="B21">
        <v>201702</v>
      </c>
      <c r="C21">
        <v>2017</v>
      </c>
      <c r="D21" t="s">
        <v>6</v>
      </c>
      <c r="E21">
        <v>170</v>
      </c>
      <c r="F21" s="2">
        <v>213.15529411764706</v>
      </c>
      <c r="G21" s="1">
        <v>38.54684234339706</v>
      </c>
      <c r="H21" s="1">
        <v>117.50783529411765</v>
      </c>
      <c r="I21" s="1">
        <v>51.905753543394589</v>
      </c>
      <c r="J21" s="1">
        <v>5.5498077180594105</v>
      </c>
      <c r="K21" s="1">
        <v>1.0229249522434019</v>
      </c>
      <c r="O21" s="1"/>
      <c r="P21" s="1"/>
      <c r="Q21" s="1"/>
      <c r="R21" s="1"/>
      <c r="S21" s="1"/>
      <c r="T21" s="1"/>
    </row>
    <row r="22" spans="1:20" x14ac:dyDescent="0.2">
      <c r="A22" t="s">
        <v>16</v>
      </c>
      <c r="B22">
        <v>201704</v>
      </c>
      <c r="C22">
        <v>2017</v>
      </c>
      <c r="D22" t="s">
        <v>7</v>
      </c>
      <c r="E22">
        <v>146</v>
      </c>
      <c r="F22" s="2">
        <v>231.74657534246575</v>
      </c>
      <c r="G22" s="1">
        <v>24.530434761131865</v>
      </c>
      <c r="H22" s="1">
        <v>129.44240410958901</v>
      </c>
      <c r="I22" s="1">
        <v>33.541715798355391</v>
      </c>
      <c r="J22" s="1">
        <v>5.8001796660876099</v>
      </c>
      <c r="K22" s="1">
        <v>1.2183360091635376</v>
      </c>
      <c r="O22" s="1"/>
      <c r="P22" s="1"/>
      <c r="Q22" s="1"/>
      <c r="R22" s="1"/>
      <c r="S22" s="1"/>
      <c r="T22" s="1"/>
    </row>
    <row r="23" spans="1:20" x14ac:dyDescent="0.2">
      <c r="A23" t="s">
        <v>16</v>
      </c>
      <c r="B23">
        <v>201802</v>
      </c>
      <c r="C23">
        <v>2018</v>
      </c>
      <c r="D23" t="s">
        <v>6</v>
      </c>
      <c r="E23">
        <v>113</v>
      </c>
      <c r="F23" s="2">
        <v>221.56194690265488</v>
      </c>
      <c r="G23" s="1">
        <v>29.863763034893914</v>
      </c>
      <c r="H23" s="1">
        <v>133.18246902654866</v>
      </c>
      <c r="I23" s="1">
        <v>49.195345274163159</v>
      </c>
      <c r="J23" s="1">
        <v>6.0658657922050772</v>
      </c>
      <c r="K23" s="1">
        <v>1.4153905922338936</v>
      </c>
      <c r="O23" s="1"/>
      <c r="P23" s="1"/>
      <c r="Q23" s="1"/>
      <c r="R23" s="1"/>
      <c r="S23" s="1"/>
      <c r="T23" s="1"/>
    </row>
    <row r="24" spans="1:20" x14ac:dyDescent="0.2">
      <c r="A24" t="s">
        <v>16</v>
      </c>
      <c r="B24">
        <v>201804</v>
      </c>
      <c r="C24">
        <v>2018</v>
      </c>
      <c r="D24" t="s">
        <v>7</v>
      </c>
      <c r="E24">
        <v>50</v>
      </c>
      <c r="F24" s="2">
        <v>245.4</v>
      </c>
      <c r="G24" s="1">
        <v>9.1940530912594767</v>
      </c>
      <c r="H24" s="1">
        <v>171.59299999999999</v>
      </c>
      <c r="I24" s="1">
        <v>21.718365429718112</v>
      </c>
      <c r="J24" s="1">
        <v>5.4064412800000001</v>
      </c>
      <c r="K24" s="1">
        <v>1.3485500600557496</v>
      </c>
      <c r="O24" s="1"/>
      <c r="P24" s="1"/>
      <c r="Q24" s="1"/>
      <c r="R24" s="1"/>
      <c r="S24" s="1"/>
      <c r="T24" s="1"/>
    </row>
    <row r="25" spans="1:20" x14ac:dyDescent="0.2">
      <c r="A25" t="s">
        <v>16</v>
      </c>
      <c r="B25">
        <v>201902</v>
      </c>
      <c r="C25">
        <v>2019</v>
      </c>
      <c r="D25" t="s">
        <v>6</v>
      </c>
      <c r="E25">
        <v>81</v>
      </c>
      <c r="F25" s="2">
        <v>232.25925925925927</v>
      </c>
      <c r="G25" s="1">
        <v>42.515520042032293</v>
      </c>
      <c r="H25" s="1">
        <v>135.22922222222223</v>
      </c>
      <c r="I25" s="1">
        <v>55.156326320740376</v>
      </c>
      <c r="J25" s="1">
        <v>5.4766994295149871</v>
      </c>
      <c r="K25" s="1">
        <v>0.83899046353464435</v>
      </c>
      <c r="O25" s="1"/>
      <c r="P25" s="1"/>
      <c r="Q25" s="1"/>
      <c r="R25" s="1"/>
      <c r="S25" s="1"/>
      <c r="T25" s="1"/>
    </row>
    <row r="26" spans="1:20" x14ac:dyDescent="0.2">
      <c r="A26" t="s">
        <v>16</v>
      </c>
      <c r="B26">
        <v>201904</v>
      </c>
      <c r="C26">
        <v>2019</v>
      </c>
      <c r="D26" t="s">
        <v>7</v>
      </c>
      <c r="E26" s="3">
        <v>84</v>
      </c>
      <c r="F26" s="2">
        <v>216.07142857142858</v>
      </c>
      <c r="G26" s="1">
        <v>55.491839346692892</v>
      </c>
      <c r="H26" s="1">
        <v>114.13542857142858</v>
      </c>
      <c r="I26" s="1">
        <v>60.870536022921051</v>
      </c>
      <c r="J26" s="1">
        <v>5.8320461736819391</v>
      </c>
      <c r="K26" s="1">
        <v>1.2352821045493225</v>
      </c>
      <c r="O26" s="1"/>
      <c r="P26" s="1"/>
      <c r="Q26" s="1"/>
      <c r="R26" s="1"/>
      <c r="S26" s="1"/>
      <c r="T26" s="1"/>
    </row>
    <row r="27" spans="1:20" x14ac:dyDescent="0.2">
      <c r="A27" t="s">
        <v>16</v>
      </c>
      <c r="B27">
        <v>202002</v>
      </c>
      <c r="C27">
        <v>2020</v>
      </c>
      <c r="D27" t="s">
        <v>6</v>
      </c>
      <c r="E27" s="3">
        <v>8</v>
      </c>
      <c r="F27" s="2">
        <v>222</v>
      </c>
      <c r="G27" s="1">
        <v>8.4684287630165311</v>
      </c>
      <c r="H27" s="1">
        <v>110.19512499999999</v>
      </c>
      <c r="I27" s="1">
        <v>15.79055648560249</v>
      </c>
      <c r="J27" s="1">
        <v>5.5588703409102527</v>
      </c>
      <c r="K27" s="1">
        <v>0.65915356512798529</v>
      </c>
      <c r="O27" s="1"/>
      <c r="P27" s="1"/>
      <c r="Q27" s="1"/>
      <c r="R27" s="1"/>
      <c r="S27" s="1"/>
      <c r="T27" s="1"/>
    </row>
    <row r="28" spans="1:20" x14ac:dyDescent="0.2">
      <c r="A28" t="s">
        <v>16</v>
      </c>
      <c r="B28">
        <v>202004</v>
      </c>
      <c r="C28">
        <v>2020</v>
      </c>
      <c r="D28" t="s">
        <v>7</v>
      </c>
      <c r="E28" s="3"/>
      <c r="O28" s="1"/>
      <c r="P28" s="1"/>
      <c r="Q28" s="1"/>
      <c r="R28" s="1"/>
      <c r="S28" s="1"/>
      <c r="T28" s="1"/>
    </row>
    <row r="29" spans="1:20" x14ac:dyDescent="0.2">
      <c r="A29" t="s">
        <v>16</v>
      </c>
      <c r="B29">
        <v>202102</v>
      </c>
      <c r="C29">
        <v>2021</v>
      </c>
      <c r="D29" t="s">
        <v>6</v>
      </c>
      <c r="E29" s="3">
        <v>117</v>
      </c>
      <c r="F29" s="2">
        <v>199.55555555555554</v>
      </c>
      <c r="G29" s="1">
        <v>16.864799315102989</v>
      </c>
      <c r="H29" s="1">
        <v>86.578119658119604</v>
      </c>
      <c r="I29" s="1">
        <v>24.305075847466206</v>
      </c>
      <c r="J29" s="1">
        <v>6.2903619025613065</v>
      </c>
      <c r="K29" s="1">
        <v>1.3146960161788221</v>
      </c>
      <c r="O29" s="1"/>
      <c r="P29" s="1"/>
      <c r="Q29" s="1"/>
      <c r="R29" s="1"/>
      <c r="S29" s="1"/>
      <c r="T29" s="1"/>
    </row>
    <row r="30" spans="1:20" x14ac:dyDescent="0.2">
      <c r="A30" t="s">
        <v>16</v>
      </c>
      <c r="B30">
        <v>202104</v>
      </c>
      <c r="C30">
        <v>2021</v>
      </c>
      <c r="D30" t="s">
        <v>7</v>
      </c>
      <c r="E30">
        <v>123</v>
      </c>
      <c r="F30" s="1">
        <v>221</v>
      </c>
      <c r="G30" s="1">
        <v>9.9794871578867337</v>
      </c>
      <c r="H30" s="1">
        <v>93.079430894308956</v>
      </c>
      <c r="I30" s="1">
        <v>13.716433801496571</v>
      </c>
      <c r="J30" s="1">
        <v>7.2786491589922715</v>
      </c>
      <c r="K30" s="1">
        <v>1.1509343964691443</v>
      </c>
      <c r="O30" s="1"/>
      <c r="P30" s="1"/>
      <c r="Q30" s="1"/>
      <c r="R30" s="1"/>
      <c r="S30" s="1"/>
      <c r="T30" s="1"/>
    </row>
    <row r="31" spans="1:20" x14ac:dyDescent="0.2">
      <c r="A31" t="s">
        <v>16</v>
      </c>
      <c r="B31">
        <v>202202</v>
      </c>
      <c r="C31">
        <v>2022</v>
      </c>
      <c r="D31" t="s">
        <v>6</v>
      </c>
      <c r="E31">
        <v>200</v>
      </c>
      <c r="F31" s="1">
        <v>219.38</v>
      </c>
      <c r="G31" s="1">
        <v>23.854786820916104</v>
      </c>
      <c r="H31" s="1">
        <v>98.211550000000031</v>
      </c>
      <c r="I31" s="1">
        <v>39.200002154874952</v>
      </c>
      <c r="J31" s="1">
        <v>7.7476129317048557</v>
      </c>
      <c r="K31" s="1">
        <v>1.6962045105217596</v>
      </c>
      <c r="O31" s="1"/>
      <c r="P31" s="1"/>
      <c r="Q31" s="1"/>
      <c r="R31" s="1"/>
      <c r="S31" s="1"/>
      <c r="T31" s="1"/>
    </row>
    <row r="32" spans="1:20" x14ac:dyDescent="0.2">
      <c r="F32" s="1"/>
      <c r="O32" s="1"/>
      <c r="P32" s="1"/>
      <c r="Q32" s="1"/>
      <c r="R32" s="1"/>
      <c r="S32" s="1"/>
      <c r="T32" s="1"/>
    </row>
    <row r="33" spans="1:20" x14ac:dyDescent="0.2">
      <c r="A33" t="s">
        <v>16</v>
      </c>
      <c r="B33" t="s">
        <v>6</v>
      </c>
      <c r="E33" s="3">
        <f>SUM(E21,E23,E25,E27,E29,E31)</f>
        <v>689</v>
      </c>
      <c r="F33" s="2">
        <f>(F21*E21+F23*E23+F25*E25+F27*E27+F29*E29+F31*E31)/E33</f>
        <v>216.38011611030478</v>
      </c>
      <c r="G33" s="2">
        <f>(G21*E21+G23*E23+G25*E25+G27*E27+G29*E29+G31*E31)/E33</f>
        <v>29.293486007082052</v>
      </c>
      <c r="H33" s="2">
        <f>(H21*E21+H23*E23+H25*E25+H27*E27+H29*E29+H31*E31)/E33</f>
        <v>111.22355442670539</v>
      </c>
      <c r="I33" s="2">
        <f>(I21*E21+I23*E23+I25*E25+I27*E27+I29*E29+I31*E31)/E33</f>
        <v>43.048959807475818</v>
      </c>
      <c r="J33" s="2">
        <f>(J21*E21+J23*E23+J25*E25+J27*E27+J29*E29+J31*E31)/E33</f>
        <v>6.3896787983278864</v>
      </c>
      <c r="K33" s="2">
        <f>(K21*E21+K23*E23+K25*E25+K27*E27+K29*E29+K31*E31)/E33</f>
        <v>1.3064269533648947</v>
      </c>
      <c r="O33" s="1"/>
      <c r="P33" s="1"/>
      <c r="Q33" s="1"/>
      <c r="R33" s="1"/>
      <c r="S33" s="1"/>
      <c r="T33" s="1"/>
    </row>
    <row r="34" spans="1:20" x14ac:dyDescent="0.2">
      <c r="A34" t="s">
        <v>16</v>
      </c>
      <c r="B34" t="s">
        <v>7</v>
      </c>
      <c r="E34" s="3">
        <f>SUM(E22,E24,E26,E28,E30)</f>
        <v>403</v>
      </c>
      <c r="F34" s="2">
        <f>(F22*E22+F24*E24+F26*E26+F28*E28+F30*E30)/E34</f>
        <v>226.89330024813896</v>
      </c>
      <c r="G34" s="2">
        <f>(G22*E22+G24*E24+G26*E26+G28*E28+G30*E30)/E34</f>
        <v>24.640043561365992</v>
      </c>
      <c r="H34" s="2">
        <f>(H22*E22+H24*E24+H26*E26+H28*E28+H30*E30)/E34</f>
        <v>120.38309429280397</v>
      </c>
      <c r="I34" s="2">
        <f>(I22*E22+I24*E24+I26*E26+I28*E28+I30*E30)/E34</f>
        <v>31.720236132891412</v>
      </c>
      <c r="J34" s="2">
        <f>(J22*E22+J24*E24+J26*E26+J30*E30)/E34</f>
        <v>6.2092159314990658</v>
      </c>
      <c r="K34" s="2">
        <f>(K22*E22+K24*E24+K26*E26+K28*E28+K30*E30)/E34</f>
        <v>1.2174520791278207</v>
      </c>
    </row>
    <row r="35" spans="1:20" x14ac:dyDescent="0.2">
      <c r="A35" t="s">
        <v>16</v>
      </c>
      <c r="B35" t="s">
        <v>19</v>
      </c>
      <c r="E35">
        <v>1092</v>
      </c>
      <c r="F35">
        <v>220.25998168498168</v>
      </c>
      <c r="G35">
        <v>32.106649747674275</v>
      </c>
      <c r="H35">
        <v>114.60386080586068</v>
      </c>
      <c r="I35">
        <v>46.260534154911994</v>
      </c>
      <c r="J35">
        <v>6.3230794069982039</v>
      </c>
      <c r="K35">
        <v>1.5492265729818939</v>
      </c>
    </row>
    <row r="36" spans="1:20" x14ac:dyDescent="0.2">
      <c r="J36" s="5"/>
    </row>
    <row r="37" spans="1:20" x14ac:dyDescent="0.2">
      <c r="C37" t="s">
        <v>8</v>
      </c>
      <c r="D37" t="s">
        <v>9</v>
      </c>
      <c r="E37" t="s">
        <v>10</v>
      </c>
      <c r="F37" s="2" t="s">
        <v>11</v>
      </c>
      <c r="G37" s="1" t="s">
        <v>12</v>
      </c>
      <c r="H37" s="1" t="s">
        <v>13</v>
      </c>
      <c r="I37" s="1" t="s">
        <v>14</v>
      </c>
      <c r="J37" s="1" t="s">
        <v>20</v>
      </c>
      <c r="K37" s="1" t="s">
        <v>15</v>
      </c>
    </row>
    <row r="38" spans="1:20" x14ac:dyDescent="0.2">
      <c r="A38" t="s">
        <v>2</v>
      </c>
      <c r="B38">
        <v>201702</v>
      </c>
      <c r="C38">
        <v>2017</v>
      </c>
      <c r="D38" t="s">
        <v>6</v>
      </c>
      <c r="E38">
        <v>204</v>
      </c>
      <c r="F38" s="2">
        <v>227.18382352941177</v>
      </c>
      <c r="G38" s="1">
        <v>60.838895575653346</v>
      </c>
      <c r="H38" s="1">
        <v>122.30125000000002</v>
      </c>
      <c r="I38" s="1">
        <v>85.509221268769494</v>
      </c>
      <c r="J38" s="1">
        <v>4.2356145058815882</v>
      </c>
      <c r="K38" s="1">
        <v>0.40304512437385281</v>
      </c>
    </row>
    <row r="39" spans="1:20" x14ac:dyDescent="0.2">
      <c r="A39" t="s">
        <v>2</v>
      </c>
      <c r="B39">
        <v>201704</v>
      </c>
      <c r="C39">
        <v>2017</v>
      </c>
      <c r="D39" t="s">
        <v>7</v>
      </c>
      <c r="E39">
        <v>232</v>
      </c>
      <c r="F39" s="2">
        <v>198.91379310344828</v>
      </c>
      <c r="G39" s="1">
        <v>74.341911523222947</v>
      </c>
      <c r="H39" s="1">
        <v>114.67818103448279</v>
      </c>
      <c r="I39" s="1">
        <v>102.98528363027721</v>
      </c>
      <c r="J39" s="1">
        <v>4.4576758428398424</v>
      </c>
      <c r="K39" s="1">
        <v>0.5322616039510969</v>
      </c>
    </row>
    <row r="40" spans="1:20" x14ac:dyDescent="0.2">
      <c r="A40" t="s">
        <v>2</v>
      </c>
      <c r="B40">
        <v>201802</v>
      </c>
      <c r="C40">
        <v>2018</v>
      </c>
      <c r="D40" t="s">
        <v>6</v>
      </c>
      <c r="E40">
        <v>178</v>
      </c>
      <c r="F40" s="2">
        <v>158.90449438202248</v>
      </c>
      <c r="G40" s="1">
        <v>70.788013141669438</v>
      </c>
      <c r="H40" s="1">
        <v>70.606314606741563</v>
      </c>
      <c r="I40" s="1">
        <v>75.446996106346674</v>
      </c>
      <c r="J40" s="1">
        <v>4.3071442584314426</v>
      </c>
      <c r="K40" s="1">
        <v>0.5461046380257859</v>
      </c>
    </row>
    <row r="41" spans="1:20" x14ac:dyDescent="0.2">
      <c r="A41" t="s">
        <v>2</v>
      </c>
      <c r="B41">
        <v>201804</v>
      </c>
      <c r="C41">
        <v>2018</v>
      </c>
      <c r="D41" t="s">
        <v>7</v>
      </c>
      <c r="E41">
        <v>150</v>
      </c>
      <c r="F41" s="2">
        <v>192.42333333333335</v>
      </c>
      <c r="G41" s="1">
        <v>61.13975454750986</v>
      </c>
      <c r="H41" s="1">
        <v>96.877019999999973</v>
      </c>
      <c r="I41" s="1">
        <v>85.054825528740182</v>
      </c>
      <c r="J41" s="1">
        <v>4.4442211970763505</v>
      </c>
      <c r="K41" s="1">
        <v>0.62435306041478367</v>
      </c>
    </row>
    <row r="42" spans="1:20" x14ac:dyDescent="0.2">
      <c r="A42" t="s">
        <v>2</v>
      </c>
      <c r="B42">
        <v>201902</v>
      </c>
      <c r="C42">
        <v>2019</v>
      </c>
      <c r="D42" t="s">
        <v>6</v>
      </c>
      <c r="E42">
        <v>185</v>
      </c>
      <c r="F42" s="2">
        <v>227.32432432432432</v>
      </c>
      <c r="G42" s="1">
        <v>76.502434620982626</v>
      </c>
      <c r="H42" s="1">
        <v>98.57955135135137</v>
      </c>
      <c r="I42" s="1">
        <v>76.752546790408914</v>
      </c>
      <c r="J42" s="1">
        <v>3.9620992088959071</v>
      </c>
      <c r="K42" s="1">
        <v>0.45210583373805713</v>
      </c>
    </row>
    <row r="43" spans="1:20" x14ac:dyDescent="0.2">
      <c r="A43" t="s">
        <v>2</v>
      </c>
      <c r="B43">
        <v>201904</v>
      </c>
      <c r="C43">
        <v>2019</v>
      </c>
      <c r="D43" t="s">
        <v>7</v>
      </c>
      <c r="E43">
        <v>198</v>
      </c>
      <c r="F43" s="2">
        <v>209.76767676767676</v>
      </c>
      <c r="G43" s="1">
        <v>84.687101395658516</v>
      </c>
      <c r="H43" s="1">
        <v>91.251090909090934</v>
      </c>
      <c r="I43" s="1">
        <v>83.254224549093436</v>
      </c>
      <c r="J43" s="1">
        <v>4.2441092961781441</v>
      </c>
      <c r="K43" s="1">
        <v>0.50602303180976393</v>
      </c>
    </row>
    <row r="44" spans="1:20" x14ac:dyDescent="0.2">
      <c r="A44" t="s">
        <v>2</v>
      </c>
      <c r="B44">
        <v>202002</v>
      </c>
      <c r="C44">
        <v>2020</v>
      </c>
      <c r="D44" t="s">
        <v>6</v>
      </c>
      <c r="E44">
        <v>69</v>
      </c>
      <c r="F44" s="2">
        <v>225.55072463768116</v>
      </c>
      <c r="G44" s="1">
        <v>73.042198969838878</v>
      </c>
      <c r="H44" s="1">
        <v>99.551579710144949</v>
      </c>
      <c r="I44" s="1">
        <v>74.150449469385748</v>
      </c>
      <c r="J44" s="1">
        <v>4.158105968680931</v>
      </c>
      <c r="K44" s="1">
        <v>0.41695496276138533</v>
      </c>
    </row>
    <row r="45" spans="1:20" x14ac:dyDescent="0.2">
      <c r="A45" t="s">
        <v>2</v>
      </c>
      <c r="B45">
        <v>202004</v>
      </c>
      <c r="C45">
        <v>2020</v>
      </c>
      <c r="D45" t="s">
        <v>7</v>
      </c>
    </row>
    <row r="46" spans="1:20" x14ac:dyDescent="0.2">
      <c r="A46" t="s">
        <v>2</v>
      </c>
      <c r="B46">
        <v>202102</v>
      </c>
      <c r="C46">
        <v>2021</v>
      </c>
      <c r="D46" t="s">
        <v>6</v>
      </c>
      <c r="E46">
        <v>136</v>
      </c>
      <c r="F46" s="2">
        <v>227.0514705882353</v>
      </c>
      <c r="G46" s="1">
        <v>73.710275664673048</v>
      </c>
      <c r="H46" s="1">
        <v>101.25578676470586</v>
      </c>
      <c r="I46" s="1">
        <v>83.174819022337786</v>
      </c>
      <c r="J46" s="1">
        <v>4.0778521839688722</v>
      </c>
      <c r="K46" s="1">
        <v>0.44871402213546391</v>
      </c>
    </row>
    <row r="47" spans="1:20" x14ac:dyDescent="0.2">
      <c r="A47" t="s">
        <v>2</v>
      </c>
      <c r="B47">
        <v>202104</v>
      </c>
      <c r="C47">
        <v>2021</v>
      </c>
      <c r="D47" t="s">
        <v>7</v>
      </c>
      <c r="E47">
        <v>121</v>
      </c>
      <c r="F47" s="2">
        <v>232.6694214876033</v>
      </c>
      <c r="G47" s="1">
        <v>85.623048730053995</v>
      </c>
      <c r="H47" s="1">
        <v>119.58966115702481</v>
      </c>
      <c r="I47" s="1">
        <v>89.06609320700683</v>
      </c>
      <c r="J47" s="1">
        <v>4.2942902048986227</v>
      </c>
      <c r="K47" s="1">
        <v>0.425486620566079</v>
      </c>
    </row>
    <row r="48" spans="1:20" x14ac:dyDescent="0.2">
      <c r="A48" t="s">
        <v>2</v>
      </c>
      <c r="B48">
        <v>202202</v>
      </c>
      <c r="C48">
        <v>2022</v>
      </c>
      <c r="D48" t="s">
        <v>6</v>
      </c>
      <c r="E48">
        <v>106</v>
      </c>
      <c r="F48" s="2">
        <v>226.06603773584905</v>
      </c>
      <c r="G48" s="1">
        <v>91.746261775972243</v>
      </c>
      <c r="H48" s="1">
        <v>119.57863207547167</v>
      </c>
      <c r="I48" s="1">
        <v>107.74502902671706</v>
      </c>
      <c r="J48" s="1">
        <v>4.1147297871130846</v>
      </c>
      <c r="K48" s="1">
        <v>0.49490944981503077</v>
      </c>
    </row>
    <row r="50" spans="1:20" x14ac:dyDescent="0.2">
      <c r="A50" t="s">
        <v>2</v>
      </c>
      <c r="B50" t="s">
        <v>6</v>
      </c>
      <c r="E50" s="3">
        <f>SUM(E38,E40,E42,E44,E46,E48)</f>
        <v>878</v>
      </c>
      <c r="F50" s="2">
        <f>(F38*E38+F40*E40+F42*E42+F44*E44+F46*E46+F48*E48)/E50</f>
        <v>213.08712984054671</v>
      </c>
      <c r="G50" s="2">
        <f>(G38*E38+G40*E40+G42*E42+G44*E44+G46*E46+G48*E48)/E50</f>
        <v>72.840506160705814</v>
      </c>
      <c r="H50" s="2">
        <f>(H38*E38+H40*E40+H42*E42+H44*E44+H46*E46+H48*E48)/E50</f>
        <v>101.446215261959</v>
      </c>
      <c r="I50" s="2">
        <f>(I38*E38+I40*E40+I42*E42+I44*E44+I46*E46+I48*E48)/E50</f>
        <v>83.054438586835872</v>
      </c>
      <c r="J50" s="2">
        <f>(J38*E38+J40*E40+J42*E42+J44*E44+J46*E46+J48*E48)/E50</f>
        <v>4.1473621379716645</v>
      </c>
      <c r="K50" s="2">
        <f>(K38*E38+K40*E40+K42*E42+K44*E44+K46*E46+K48*E48)/E50</f>
        <v>0.46164329305666102</v>
      </c>
      <c r="O50" s="1"/>
      <c r="P50" s="1"/>
      <c r="Q50" s="1"/>
      <c r="R50" s="1"/>
      <c r="S50" s="1"/>
      <c r="T50" s="1"/>
    </row>
    <row r="51" spans="1:20" x14ac:dyDescent="0.2">
      <c r="A51" t="s">
        <v>2</v>
      </c>
      <c r="B51" t="s">
        <v>7</v>
      </c>
      <c r="E51" s="3">
        <f>SUM(E39,E41,E43,E45,E47)</f>
        <v>701</v>
      </c>
      <c r="F51" s="2">
        <f>(F39*E39+F41*E41+F43*E43+F45*E45+F47*E47)/E51</f>
        <v>206.41726105563481</v>
      </c>
      <c r="G51" s="2">
        <f>(G39*E39+G41*E41+G43*E43+G45*E45+G47*E47)/E51</f>
        <v>76.386193478161374</v>
      </c>
      <c r="H51" s="2">
        <f>(H39*E39+H41*E41+H43*E43+H45*E45+H47*E47)/E51</f>
        <v>105.09979457917262</v>
      </c>
      <c r="I51" s="2">
        <f>(I39*E39+I41*E41+I43*E43+I45*E45+I47*E47)/E51</f>
        <v>91.17281507889254</v>
      </c>
      <c r="J51" s="2">
        <f>(J39*E39+J41*E41+J43*E43+J47*E47)/E51</f>
        <v>4.366272083503997</v>
      </c>
      <c r="K51" s="2">
        <f>(K39*E39+K41*E41+K43*E43+K45*E45+K47*E47)/E51</f>
        <v>0.52612566699814667</v>
      </c>
    </row>
    <row r="52" spans="1:20" x14ac:dyDescent="0.2">
      <c r="A52" t="s">
        <v>2</v>
      </c>
      <c r="B52" t="s">
        <v>19</v>
      </c>
      <c r="E52">
        <v>1579</v>
      </c>
      <c r="F52" s="2">
        <v>210.12602913236225</v>
      </c>
      <c r="G52" s="1">
        <v>78.089716043232684</v>
      </c>
      <c r="H52" s="1">
        <v>103.06822862571222</v>
      </c>
      <c r="I52" s="1">
        <v>88.439750695366897</v>
      </c>
      <c r="J52" s="1">
        <v>4.2445476172738585</v>
      </c>
      <c r="K52" s="1">
        <v>0.51723152706938225</v>
      </c>
    </row>
    <row r="53" spans="1:20" x14ac:dyDescent="0.2">
      <c r="F53" s="4"/>
      <c r="G53" s="4"/>
      <c r="H53" s="4"/>
      <c r="I53" s="4"/>
      <c r="K53" s="4"/>
    </row>
    <row r="54" spans="1:20" x14ac:dyDescent="0.2">
      <c r="C54" t="s">
        <v>8</v>
      </c>
      <c r="D54" t="s">
        <v>9</v>
      </c>
      <c r="E54" t="s">
        <v>10</v>
      </c>
      <c r="F54" s="2" t="s">
        <v>11</v>
      </c>
      <c r="G54" s="1" t="s">
        <v>12</v>
      </c>
      <c r="H54" s="1" t="s">
        <v>13</v>
      </c>
      <c r="I54" s="1" t="s">
        <v>14</v>
      </c>
      <c r="J54" s="1" t="s">
        <v>20</v>
      </c>
      <c r="K54" s="1" t="s">
        <v>15</v>
      </c>
    </row>
    <row r="55" spans="1:20" x14ac:dyDescent="0.2">
      <c r="A55" t="s">
        <v>3</v>
      </c>
      <c r="B55">
        <v>201702</v>
      </c>
      <c r="C55">
        <v>2017</v>
      </c>
      <c r="D55" t="s">
        <v>6</v>
      </c>
      <c r="E55">
        <v>17</v>
      </c>
      <c r="F55" s="2">
        <v>124.94117647058823</v>
      </c>
      <c r="G55" s="1">
        <v>24.70695901015365</v>
      </c>
      <c r="H55" s="1">
        <v>6.3764705882352946</v>
      </c>
      <c r="I55" s="1">
        <v>3.7972735962405819</v>
      </c>
      <c r="J55" s="1">
        <v>6.5911944473582942</v>
      </c>
      <c r="K55" s="1">
        <v>0.64303248772396804</v>
      </c>
    </row>
    <row r="56" spans="1:20" x14ac:dyDescent="0.2">
      <c r="A56" t="s">
        <v>3</v>
      </c>
      <c r="B56">
        <v>201704</v>
      </c>
      <c r="C56">
        <v>2017</v>
      </c>
      <c r="D56" t="s">
        <v>7</v>
      </c>
    </row>
    <row r="57" spans="1:20" x14ac:dyDescent="0.2">
      <c r="A57" t="s">
        <v>3</v>
      </c>
      <c r="B57">
        <v>201802</v>
      </c>
      <c r="C57">
        <v>2018</v>
      </c>
      <c r="D57" t="s">
        <v>6</v>
      </c>
      <c r="E57">
        <v>61</v>
      </c>
      <c r="F57" s="2">
        <v>130.14754098360655</v>
      </c>
      <c r="G57" s="1">
        <v>12.337052680946927</v>
      </c>
      <c r="H57" s="1">
        <v>6.864213114754099</v>
      </c>
      <c r="I57" s="1">
        <v>1.9106543653484582</v>
      </c>
      <c r="J57" s="1">
        <v>5.7857412786540623</v>
      </c>
      <c r="K57" s="1">
        <v>0.33229870983682935</v>
      </c>
    </row>
    <row r="58" spans="1:20" x14ac:dyDescent="0.2">
      <c r="A58" t="s">
        <v>3</v>
      </c>
      <c r="B58">
        <v>201804</v>
      </c>
      <c r="C58">
        <v>2018</v>
      </c>
      <c r="D58" t="s">
        <v>7</v>
      </c>
      <c r="E58">
        <v>8</v>
      </c>
      <c r="F58" s="2">
        <v>138.125</v>
      </c>
      <c r="G58" s="1">
        <v>21.536928418748243</v>
      </c>
      <c r="H58" s="1">
        <v>9.370000000000001</v>
      </c>
      <c r="I58" s="1">
        <v>4.1561589410003457</v>
      </c>
      <c r="J58" s="1">
        <v>7.8353970000000022</v>
      </c>
      <c r="K58" s="1">
        <v>0.68674836800261485</v>
      </c>
    </row>
    <row r="59" spans="1:20" x14ac:dyDescent="0.2">
      <c r="A59" t="s">
        <v>3</v>
      </c>
      <c r="B59">
        <v>201902</v>
      </c>
      <c r="C59">
        <v>2019</v>
      </c>
      <c r="D59" t="s">
        <v>6</v>
      </c>
      <c r="E59">
        <v>47</v>
      </c>
      <c r="F59" s="2">
        <v>133.55319148936169</v>
      </c>
      <c r="G59" s="1">
        <v>35.537370722295137</v>
      </c>
      <c r="H59" s="1">
        <v>8.0398723404255303</v>
      </c>
      <c r="I59" s="1">
        <v>4.2006333974616883</v>
      </c>
      <c r="J59" s="1">
        <v>5.5784528547044836</v>
      </c>
      <c r="K59" s="1">
        <v>0.39799598287565141</v>
      </c>
    </row>
    <row r="60" spans="1:20" x14ac:dyDescent="0.2">
      <c r="A60" t="s">
        <v>3</v>
      </c>
      <c r="B60">
        <v>201904</v>
      </c>
      <c r="C60">
        <v>2019</v>
      </c>
      <c r="D60" t="s">
        <v>7</v>
      </c>
      <c r="E60">
        <v>4</v>
      </c>
      <c r="F60" s="2">
        <v>165.75</v>
      </c>
      <c r="G60" s="1">
        <v>26.5</v>
      </c>
      <c r="H60" s="1">
        <v>15.1425</v>
      </c>
      <c r="I60" s="1">
        <v>7.3849653801941875</v>
      </c>
      <c r="J60" s="1">
        <v>8.0167530308744261</v>
      </c>
      <c r="K60" s="1">
        <v>1.0697400705193825</v>
      </c>
    </row>
    <row r="61" spans="1:20" x14ac:dyDescent="0.2">
      <c r="A61" t="s">
        <v>3</v>
      </c>
      <c r="B61">
        <v>202002</v>
      </c>
      <c r="C61">
        <v>2020</v>
      </c>
      <c r="D61" t="s">
        <v>6</v>
      </c>
    </row>
    <row r="62" spans="1:20" x14ac:dyDescent="0.2">
      <c r="A62" t="s">
        <v>3</v>
      </c>
      <c r="B62">
        <v>202004</v>
      </c>
      <c r="C62">
        <v>2020</v>
      </c>
      <c r="D62" t="s">
        <v>7</v>
      </c>
    </row>
    <row r="63" spans="1:20" x14ac:dyDescent="0.2">
      <c r="A63" t="s">
        <v>3</v>
      </c>
      <c r="B63">
        <v>202102</v>
      </c>
      <c r="C63">
        <v>2021</v>
      </c>
      <c r="D63" t="s">
        <v>6</v>
      </c>
      <c r="E63">
        <v>44</v>
      </c>
      <c r="F63" s="2">
        <v>83.727272727272734</v>
      </c>
      <c r="G63" s="1">
        <v>35.459353498457098</v>
      </c>
      <c r="H63" s="1">
        <v>3.2165227272727268</v>
      </c>
      <c r="I63" s="1">
        <v>6.3541659635623873</v>
      </c>
      <c r="J63" s="1">
        <v>6.0450588284289637</v>
      </c>
      <c r="K63" s="1">
        <v>0.84339425394132472</v>
      </c>
    </row>
    <row r="64" spans="1:20" x14ac:dyDescent="0.2">
      <c r="A64" t="s">
        <v>3</v>
      </c>
      <c r="B64">
        <v>202104</v>
      </c>
      <c r="C64">
        <v>2021</v>
      </c>
      <c r="D64" t="s">
        <v>7</v>
      </c>
      <c r="E64">
        <v>1</v>
      </c>
      <c r="F64" s="2">
        <v>81</v>
      </c>
      <c r="H64" s="1">
        <v>1.0759999999999996</v>
      </c>
      <c r="J64" s="1">
        <v>6.160299999999995</v>
      </c>
    </row>
    <row r="65" spans="1:20" x14ac:dyDescent="0.2">
      <c r="A65" t="s">
        <v>3</v>
      </c>
      <c r="B65">
        <v>202202</v>
      </c>
      <c r="C65">
        <v>2022</v>
      </c>
      <c r="D65" t="s">
        <v>6</v>
      </c>
      <c r="E65">
        <v>1</v>
      </c>
      <c r="F65" s="2">
        <v>164</v>
      </c>
      <c r="H65" s="1">
        <v>12.837</v>
      </c>
      <c r="J65" s="1">
        <v>6.3967438731790924</v>
      </c>
    </row>
    <row r="67" spans="1:20" x14ac:dyDescent="0.2">
      <c r="A67" t="s">
        <v>3</v>
      </c>
      <c r="B67" t="s">
        <v>6</v>
      </c>
      <c r="E67" s="3">
        <f>SUM(E55,E57,E59,E61,E63,E65)</f>
        <v>170</v>
      </c>
      <c r="F67" s="2">
        <f>(F55*E55+F57*E57+F59*E59+F61*E61+F63*E63+F65*E65)/E67</f>
        <v>118.75294117647059</v>
      </c>
      <c r="G67" s="2">
        <f>(G55*E55+G57*E57+G59*E59+G61*E61+G63*E63+G65*E65)/E67</f>
        <v>25.900273497590341</v>
      </c>
      <c r="H67" s="2">
        <f>(H55*E55+H57*E57+H59*E59+H61*E61+H63*E63+H65*E65)/E67</f>
        <v>6.2315000000000005</v>
      </c>
      <c r="I67" s="2">
        <f>(I55*E55+I57*E57+I59*E59+I61*E61+I63*E63+I65*E65)/E67</f>
        <v>3.8712743499987656</v>
      </c>
      <c r="J67" s="2">
        <f>(J55*E55+J57*E57+J59*E59+J61*E61+J63*E63+J65*E65)/E67</f>
        <v>5.8796890594009001</v>
      </c>
      <c r="K67" s="2">
        <f>(K55*E55+K57*E57+K59*E59+K61*E61+K63*E63+K65*E65)/E67</f>
        <v>0.51186430564663499</v>
      </c>
      <c r="O67" s="1"/>
      <c r="P67" s="1"/>
      <c r="Q67" s="1"/>
      <c r="R67" s="1"/>
      <c r="S67" s="1"/>
      <c r="T67" s="1"/>
    </row>
    <row r="68" spans="1:20" x14ac:dyDescent="0.2">
      <c r="A68" t="s">
        <v>3</v>
      </c>
      <c r="B68" t="s">
        <v>7</v>
      </c>
      <c r="E68" s="3">
        <f>SUM(E56,E58,E60,E62,E64)</f>
        <v>13</v>
      </c>
      <c r="F68" s="2">
        <f>(F56*E56+F58*E58+F60*E60+F62*E62+F64*E64)/E68</f>
        <v>142.23076923076923</v>
      </c>
      <c r="G68" s="2">
        <f>(G56*E56+G58*E58+G60*E60+G62*E62+G64*E64)/E68</f>
        <v>21.407340565383535</v>
      </c>
      <c r="H68" s="2">
        <f>(H56*E56+H58*E58+H60*E60+H62*E62+H64*E64)/E68</f>
        <v>10.508153846153846</v>
      </c>
      <c r="I68" s="2">
        <f>(I56*E56+I58*E58+I60*E60+I62*E62+I64*E64)/E68</f>
        <v>4.8299333114445782</v>
      </c>
      <c r="J68" s="2">
        <f>(J56*E56+J58*E58+J60*E60+J64*E64)/E68</f>
        <v>7.7623452402690551</v>
      </c>
      <c r="K68" s="2">
        <f>(K56*E56+K58*E58+K60*E60+K62*E62+K64*E64)/E68</f>
        <v>0.75176517123834219</v>
      </c>
    </row>
    <row r="69" spans="1:20" x14ac:dyDescent="0.2">
      <c r="A69" t="s">
        <v>3</v>
      </c>
      <c r="B69" t="s">
        <v>19</v>
      </c>
      <c r="E69">
        <v>183</v>
      </c>
      <c r="F69" s="2">
        <v>120.4207650273224</v>
      </c>
      <c r="G69" s="1">
        <v>35.086948599855177</v>
      </c>
      <c r="H69" s="1">
        <v>6.5353060109289585</v>
      </c>
      <c r="I69" s="1">
        <v>4.866508497967299</v>
      </c>
      <c r="J69" s="1">
        <v>6.0134296624133921</v>
      </c>
      <c r="K69" s="1">
        <v>0.80656842606843115</v>
      </c>
    </row>
    <row r="71" spans="1:20" x14ac:dyDescent="0.2">
      <c r="C71" t="s">
        <v>8</v>
      </c>
      <c r="D71" t="s">
        <v>9</v>
      </c>
      <c r="E71" t="s">
        <v>10</v>
      </c>
      <c r="F71" s="2" t="s">
        <v>11</v>
      </c>
      <c r="G71" s="1" t="s">
        <v>12</v>
      </c>
      <c r="H71" s="1" t="s">
        <v>13</v>
      </c>
      <c r="I71" s="1" t="s">
        <v>14</v>
      </c>
      <c r="J71" s="1" t="s">
        <v>20</v>
      </c>
      <c r="K71" s="1" t="s">
        <v>15</v>
      </c>
    </row>
    <row r="72" spans="1:20" x14ac:dyDescent="0.2">
      <c r="A72" t="s">
        <v>4</v>
      </c>
      <c r="B72">
        <v>201702</v>
      </c>
      <c r="C72">
        <v>2017</v>
      </c>
      <c r="D72" t="s">
        <v>6</v>
      </c>
      <c r="E72">
        <v>5</v>
      </c>
      <c r="F72" s="2">
        <v>281</v>
      </c>
      <c r="G72" s="1">
        <v>8.8600225733346747</v>
      </c>
      <c r="H72" s="1">
        <v>198.81980000000001</v>
      </c>
      <c r="I72" s="1">
        <v>11.870269992717066</v>
      </c>
      <c r="J72" s="1">
        <v>4.6030115108416689</v>
      </c>
      <c r="K72" s="1">
        <v>0.54038987768796853</v>
      </c>
    </row>
    <row r="73" spans="1:20" x14ac:dyDescent="0.2">
      <c r="A73" t="s">
        <v>4</v>
      </c>
      <c r="B73">
        <v>201704</v>
      </c>
      <c r="C73">
        <v>2017</v>
      </c>
      <c r="D73" t="s">
        <v>7</v>
      </c>
      <c r="E73">
        <v>111</v>
      </c>
      <c r="F73" s="2">
        <v>250.91891891891891</v>
      </c>
      <c r="G73" s="1">
        <v>37.536439298157667</v>
      </c>
      <c r="H73" s="1">
        <v>161.24412612612613</v>
      </c>
      <c r="I73" s="1">
        <v>70.733860656319237</v>
      </c>
      <c r="J73" s="1">
        <v>6.9426876512226432</v>
      </c>
      <c r="K73" s="1">
        <v>1.4486868123541006</v>
      </c>
    </row>
    <row r="74" spans="1:20" x14ac:dyDescent="0.2">
      <c r="A74" t="s">
        <v>4</v>
      </c>
      <c r="B74">
        <v>201802</v>
      </c>
      <c r="C74">
        <v>2018</v>
      </c>
      <c r="D74" t="s">
        <v>6</v>
      </c>
      <c r="E74">
        <v>86</v>
      </c>
      <c r="F74" s="2">
        <v>234.48255813953489</v>
      </c>
      <c r="G74" s="1">
        <v>42.836930718469183</v>
      </c>
      <c r="H74" s="1">
        <v>139.84854651162794</v>
      </c>
      <c r="I74" s="1">
        <v>74.862366209976514</v>
      </c>
      <c r="J74" s="1">
        <v>4.8973079098267505</v>
      </c>
      <c r="K74" s="1">
        <v>0.89192698234715506</v>
      </c>
    </row>
    <row r="75" spans="1:20" x14ac:dyDescent="0.2">
      <c r="A75" t="s">
        <v>4</v>
      </c>
      <c r="B75">
        <v>201804</v>
      </c>
      <c r="C75">
        <v>2018</v>
      </c>
      <c r="D75" t="s">
        <v>7</v>
      </c>
      <c r="E75">
        <v>50</v>
      </c>
      <c r="F75" s="2">
        <v>241.45</v>
      </c>
      <c r="G75" s="1">
        <v>29.111371296720293</v>
      </c>
      <c r="H75" s="1">
        <v>141.31799999999998</v>
      </c>
      <c r="I75" s="1">
        <v>40.659686949817271</v>
      </c>
      <c r="J75" s="1">
        <v>6.7523238000000001</v>
      </c>
      <c r="K75" s="1">
        <v>1.1004901507864571</v>
      </c>
    </row>
    <row r="76" spans="1:20" x14ac:dyDescent="0.2">
      <c r="A76" t="s">
        <v>4</v>
      </c>
      <c r="B76">
        <v>201902</v>
      </c>
      <c r="C76">
        <v>2019</v>
      </c>
      <c r="D76" t="s">
        <v>6</v>
      </c>
      <c r="E76">
        <v>123</v>
      </c>
      <c r="F76" s="2">
        <v>242.72357723577235</v>
      </c>
      <c r="G76" s="1">
        <v>36.052625654821455</v>
      </c>
      <c r="H76" s="1">
        <v>135.93528455284559</v>
      </c>
      <c r="I76" s="1">
        <v>64.537332550214856</v>
      </c>
      <c r="J76" s="1">
        <v>4.6942401564215306</v>
      </c>
      <c r="K76" s="1">
        <v>0.8130275196467176</v>
      </c>
    </row>
    <row r="77" spans="1:20" x14ac:dyDescent="0.2">
      <c r="A77" t="s">
        <v>4</v>
      </c>
      <c r="B77">
        <v>201904</v>
      </c>
      <c r="C77">
        <v>2019</v>
      </c>
      <c r="D77" t="s">
        <v>7</v>
      </c>
      <c r="E77">
        <v>44</v>
      </c>
      <c r="F77" s="2">
        <v>252.84090909090909</v>
      </c>
      <c r="G77" s="1">
        <v>36.806181976842836</v>
      </c>
      <c r="H77" s="1">
        <v>161.61270454545451</v>
      </c>
      <c r="I77" s="1">
        <v>61.740092198114056</v>
      </c>
      <c r="J77" s="1">
        <v>6.6853322835905695</v>
      </c>
      <c r="K77" s="1">
        <v>1.3164626509171027</v>
      </c>
    </row>
    <row r="78" spans="1:20" x14ac:dyDescent="0.2">
      <c r="A78" t="s">
        <v>4</v>
      </c>
      <c r="B78">
        <v>202002</v>
      </c>
      <c r="C78">
        <v>2020</v>
      </c>
      <c r="D78" t="s">
        <v>6</v>
      </c>
      <c r="E78">
        <v>17</v>
      </c>
      <c r="F78" s="2">
        <v>274.29411764705884</v>
      </c>
      <c r="G78" s="1">
        <v>21.948134049055309</v>
      </c>
      <c r="H78" s="1">
        <v>205.72349411764708</v>
      </c>
      <c r="I78" s="1">
        <v>56.944401244771953</v>
      </c>
      <c r="J78" s="1">
        <v>5.5914567765272096</v>
      </c>
      <c r="K78" s="1">
        <v>1.2754333326603589</v>
      </c>
    </row>
    <row r="79" spans="1:20" x14ac:dyDescent="0.2">
      <c r="A79" t="s">
        <v>4</v>
      </c>
      <c r="B79">
        <v>202004</v>
      </c>
      <c r="C79">
        <v>2020</v>
      </c>
      <c r="D79" t="s">
        <v>7</v>
      </c>
    </row>
    <row r="80" spans="1:20" x14ac:dyDescent="0.2">
      <c r="A80" t="s">
        <v>4</v>
      </c>
      <c r="B80">
        <v>202102</v>
      </c>
      <c r="C80">
        <v>2021</v>
      </c>
      <c r="D80" t="s">
        <v>6</v>
      </c>
      <c r="E80">
        <v>100</v>
      </c>
      <c r="F80" s="2">
        <v>235.24</v>
      </c>
      <c r="G80" s="1">
        <v>40.452271414918904</v>
      </c>
      <c r="H80" s="1">
        <v>132.47258000000002</v>
      </c>
      <c r="I80" s="1">
        <v>70.007117116282714</v>
      </c>
      <c r="J80" s="1">
        <v>4.9412682716612348</v>
      </c>
      <c r="K80" s="1">
        <v>0.79212371936117254</v>
      </c>
    </row>
    <row r="81" spans="1:20" x14ac:dyDescent="0.2">
      <c r="A81" t="s">
        <v>4</v>
      </c>
      <c r="B81">
        <v>202104</v>
      </c>
      <c r="C81">
        <v>2021</v>
      </c>
      <c r="D81" t="s">
        <v>7</v>
      </c>
      <c r="E81">
        <v>63</v>
      </c>
      <c r="F81" s="2">
        <v>252.93650793650792</v>
      </c>
      <c r="G81" s="1">
        <v>37.49790231374795</v>
      </c>
      <c r="H81" s="1">
        <v>175.05204761904756</v>
      </c>
      <c r="I81" s="1">
        <v>79.427343796061223</v>
      </c>
      <c r="J81" s="1">
        <v>7.6408657166545702</v>
      </c>
      <c r="K81" s="1">
        <v>1.6604432542158296</v>
      </c>
    </row>
    <row r="82" spans="1:20" x14ac:dyDescent="0.2">
      <c r="A82" t="s">
        <v>4</v>
      </c>
      <c r="B82">
        <v>202202</v>
      </c>
      <c r="C82">
        <v>2022</v>
      </c>
      <c r="D82" t="s">
        <v>6</v>
      </c>
      <c r="E82">
        <v>105</v>
      </c>
      <c r="F82" s="2">
        <v>254.70476190476191</v>
      </c>
      <c r="G82" s="1">
        <v>42.258800587643577</v>
      </c>
      <c r="H82" s="1">
        <v>164.19196190476194</v>
      </c>
      <c r="I82" s="1">
        <v>76.228998147777787</v>
      </c>
      <c r="J82" s="1">
        <v>4.9558786609601366</v>
      </c>
      <c r="K82" s="1">
        <v>0.98265429969803841</v>
      </c>
    </row>
    <row r="84" spans="1:20" x14ac:dyDescent="0.2">
      <c r="A84" t="s">
        <v>4</v>
      </c>
      <c r="B84" t="s">
        <v>6</v>
      </c>
      <c r="E84" s="3">
        <f>SUM(E72,E74,E76,E78,E80,E82)</f>
        <v>436</v>
      </c>
      <c r="F84" s="2">
        <f>(F72*E72+F74*E74+F76*E76+F78*E78+F80*E80+F82*E82)/E84</f>
        <v>243.9369266055046</v>
      </c>
      <c r="G84" s="2">
        <f>(G72*E72+G74*E74+G76*E76+G78*E78+G80*E80+G82*E82)/E84</f>
        <v>39.032726128959787</v>
      </c>
      <c r="H84" s="2">
        <f>(H72*E72+H74*E74+H76*E76+H78*E78+H80*E80+H82*E82)/E84</f>
        <v>146.160154587156</v>
      </c>
      <c r="I84" s="2">
        <f>(I72*E72+I74*E74+I76*E76+I78*E78+I80*E80+I82*E82)/E84</f>
        <v>69.744078178908381</v>
      </c>
      <c r="J84" s="2">
        <f>(J72*E72+J74*E74+J76*E76+J78*E78+J80*E80+J82*E82)/E84</f>
        <v>4.8878989192822413</v>
      </c>
      <c r="K84" s="2">
        <f>(K72*E72+K74*E74+K76*E76+K78*E78+K80*E80+K82*E82)/E84</f>
        <v>0.87954930010660282</v>
      </c>
      <c r="O84" s="1"/>
      <c r="P84" s="1"/>
      <c r="Q84" s="1"/>
      <c r="R84" s="1"/>
      <c r="S84" s="1"/>
      <c r="T84" s="1"/>
    </row>
    <row r="85" spans="1:20" x14ac:dyDescent="0.2">
      <c r="A85" t="s">
        <v>4</v>
      </c>
      <c r="B85" t="s">
        <v>7</v>
      </c>
      <c r="E85" s="3">
        <f>SUM(E73,E75,E77,E79,E81)</f>
        <v>268</v>
      </c>
      <c r="F85" s="2">
        <f>(F73*E73+F75*E75+F77*E77+F79*E79+F81*E81)/E85</f>
        <v>249.94216417910448</v>
      </c>
      <c r="G85" s="2">
        <f>(G73*E73+G75*E75+G77*E77+G79*E79+G81*E81)/E85</f>
        <v>35.835646192831049</v>
      </c>
      <c r="H85" s="2">
        <f>(H73*E73+H75*E75+H77*E77+H79*E79+H81*E81)/E85</f>
        <v>160.83297014925373</v>
      </c>
      <c r="I85" s="2">
        <f>(I73*E73+I75*E75+I77*E77+I79*E79+I81*E81)/E85</f>
        <v>65.690035806758104</v>
      </c>
      <c r="J85" s="2">
        <f>(J73*E73+J75*E75+J77*E77+J81*E81)/E85</f>
        <v>7.0290435817646877</v>
      </c>
      <c r="K85" s="2">
        <f>(K73*E73+K75*E75+K77*E77+K79*E79+K81*E81)/E85</f>
        <v>1.4117948707708126</v>
      </c>
    </row>
    <row r="86" spans="1:20" x14ac:dyDescent="0.2">
      <c r="A86" t="s">
        <v>4</v>
      </c>
      <c r="B86" t="s">
        <v>19</v>
      </c>
      <c r="E86">
        <v>704</v>
      </c>
      <c r="F86" s="2">
        <v>246.22301136363637</v>
      </c>
      <c r="G86" s="1">
        <v>39.068355445010432</v>
      </c>
      <c r="H86" s="1">
        <v>151.74582869318166</v>
      </c>
      <c r="I86" s="1">
        <v>70.799111469219071</v>
      </c>
      <c r="J86" s="1">
        <v>5.7029937623863534</v>
      </c>
      <c r="K86" s="1">
        <v>1.5469111949179937</v>
      </c>
    </row>
    <row r="88" spans="1:20" x14ac:dyDescent="0.2">
      <c r="C88" t="s">
        <v>8</v>
      </c>
      <c r="D88" t="s">
        <v>9</v>
      </c>
      <c r="E88" t="s">
        <v>10</v>
      </c>
      <c r="F88" s="2" t="s">
        <v>11</v>
      </c>
      <c r="G88" s="1" t="s">
        <v>12</v>
      </c>
      <c r="H88" s="1" t="s">
        <v>13</v>
      </c>
      <c r="I88" s="1" t="s">
        <v>14</v>
      </c>
      <c r="J88" s="1" t="s">
        <v>20</v>
      </c>
      <c r="K88" s="1" t="s">
        <v>15</v>
      </c>
    </row>
    <row r="89" spans="1:20" x14ac:dyDescent="0.2">
      <c r="A89" t="s">
        <v>5</v>
      </c>
      <c r="B89">
        <v>201702</v>
      </c>
      <c r="C89">
        <v>2017</v>
      </c>
      <c r="D89" t="s">
        <v>6</v>
      </c>
      <c r="E89">
        <v>65</v>
      </c>
      <c r="F89" s="2">
        <v>131.76153846153846</v>
      </c>
      <c r="G89" s="1">
        <v>21.902323594681789</v>
      </c>
      <c r="H89" s="1">
        <v>62.745538461538466</v>
      </c>
      <c r="I89" s="1">
        <v>35.279935384310889</v>
      </c>
      <c r="J89" s="1">
        <v>7.1481810020593173</v>
      </c>
      <c r="K89" s="1">
        <v>1.5907073491147736</v>
      </c>
    </row>
    <row r="90" spans="1:20" x14ac:dyDescent="0.2">
      <c r="A90" t="s">
        <v>5</v>
      </c>
      <c r="B90">
        <v>201704</v>
      </c>
      <c r="C90">
        <v>2017</v>
      </c>
      <c r="D90" t="s">
        <v>7</v>
      </c>
      <c r="E90">
        <v>163</v>
      </c>
      <c r="F90" s="2">
        <v>113.84662576687117</v>
      </c>
      <c r="G90" s="1">
        <v>37.188514226789451</v>
      </c>
      <c r="H90" s="1">
        <v>44.928049079754587</v>
      </c>
      <c r="I90" s="1">
        <v>35.336709149496293</v>
      </c>
      <c r="J90" s="1">
        <v>7.4922182394127796</v>
      </c>
      <c r="K90" s="1">
        <v>1.4824491640494024</v>
      </c>
    </row>
    <row r="91" spans="1:20" x14ac:dyDescent="0.2">
      <c r="A91" t="s">
        <v>5</v>
      </c>
      <c r="B91">
        <v>201802</v>
      </c>
      <c r="C91">
        <v>2018</v>
      </c>
      <c r="D91" t="s">
        <v>6</v>
      </c>
      <c r="E91">
        <v>113</v>
      </c>
      <c r="F91" s="2">
        <v>111.60619469026548</v>
      </c>
      <c r="G91" s="1">
        <v>29.966681745809215</v>
      </c>
      <c r="H91" s="1">
        <v>37.636522123893798</v>
      </c>
      <c r="I91" s="1">
        <v>34.748002230883046</v>
      </c>
      <c r="J91" s="1">
        <v>5.2973095870601838</v>
      </c>
      <c r="K91" s="1">
        <v>1.4430975565780637</v>
      </c>
    </row>
    <row r="92" spans="1:20" x14ac:dyDescent="0.2">
      <c r="A92" t="s">
        <v>5</v>
      </c>
      <c r="B92">
        <v>201804</v>
      </c>
      <c r="C92">
        <v>2018</v>
      </c>
      <c r="D92" t="s">
        <v>7</v>
      </c>
      <c r="E92">
        <v>105</v>
      </c>
      <c r="F92" s="2">
        <v>105.68095238095238</v>
      </c>
      <c r="G92" s="1">
        <v>34.32985663786782</v>
      </c>
      <c r="H92" s="1">
        <v>38.530999999999963</v>
      </c>
      <c r="I92" s="1">
        <v>35.03019658314593</v>
      </c>
      <c r="J92" s="1">
        <v>7.3350834676373573</v>
      </c>
      <c r="K92" s="1">
        <v>2.3671124027754558</v>
      </c>
    </row>
    <row r="93" spans="1:20" x14ac:dyDescent="0.2">
      <c r="A93" t="s">
        <v>5</v>
      </c>
      <c r="B93">
        <v>201902</v>
      </c>
      <c r="C93">
        <v>2019</v>
      </c>
      <c r="D93" t="s">
        <v>6</v>
      </c>
      <c r="E93">
        <v>112</v>
      </c>
      <c r="F93" s="2">
        <v>122.69642857142857</v>
      </c>
      <c r="G93" s="1">
        <v>35.874365182119639</v>
      </c>
      <c r="H93" s="1">
        <v>46.338544642857109</v>
      </c>
      <c r="I93" s="1">
        <v>40.612030951628256</v>
      </c>
      <c r="J93" s="1">
        <v>5.4973405649290408</v>
      </c>
      <c r="K93" s="1">
        <v>1.7613369197202917</v>
      </c>
    </row>
    <row r="94" spans="1:20" x14ac:dyDescent="0.2">
      <c r="A94" t="s">
        <v>5</v>
      </c>
      <c r="B94">
        <v>201904</v>
      </c>
      <c r="C94">
        <v>2019</v>
      </c>
      <c r="D94" t="s">
        <v>7</v>
      </c>
      <c r="E94">
        <v>198</v>
      </c>
      <c r="F94" s="2">
        <v>114.66666666666667</v>
      </c>
      <c r="G94" s="1">
        <v>35.668951648108852</v>
      </c>
      <c r="H94" s="1">
        <v>42.413161616161609</v>
      </c>
      <c r="I94" s="1">
        <v>34.400094230247241</v>
      </c>
      <c r="J94" s="1">
        <v>7.2418078175302441</v>
      </c>
      <c r="K94" s="1">
        <v>2.280064968683098</v>
      </c>
    </row>
    <row r="95" spans="1:20" x14ac:dyDescent="0.2">
      <c r="A95" t="s">
        <v>5</v>
      </c>
      <c r="B95">
        <v>202002</v>
      </c>
      <c r="C95">
        <v>2020</v>
      </c>
      <c r="D95" t="s">
        <v>6</v>
      </c>
      <c r="E95">
        <v>35</v>
      </c>
      <c r="F95" s="2">
        <v>116.34285714285714</v>
      </c>
      <c r="G95" s="1">
        <v>32.379135309043455</v>
      </c>
      <c r="H95" s="1">
        <v>39.761314285714278</v>
      </c>
      <c r="I95" s="1">
        <v>28.840303533904279</v>
      </c>
      <c r="J95" s="1">
        <v>7.0223925993505567</v>
      </c>
      <c r="K95" s="1">
        <v>2.5447728158707781</v>
      </c>
    </row>
    <row r="96" spans="1:20" x14ac:dyDescent="0.2">
      <c r="A96" t="s">
        <v>5</v>
      </c>
      <c r="B96">
        <v>202004</v>
      </c>
      <c r="C96">
        <v>2020</v>
      </c>
      <c r="D96" t="s">
        <v>7</v>
      </c>
    </row>
    <row r="97" spans="1:20" x14ac:dyDescent="0.2">
      <c r="A97" t="s">
        <v>5</v>
      </c>
      <c r="B97">
        <v>202102</v>
      </c>
      <c r="C97">
        <v>2021</v>
      </c>
      <c r="D97" t="s">
        <v>6</v>
      </c>
      <c r="E97">
        <v>90</v>
      </c>
      <c r="F97" s="2">
        <v>127.56666666666666</v>
      </c>
      <c r="G97" s="1">
        <v>26.847907038716286</v>
      </c>
      <c r="H97" s="1">
        <v>48.174855555555567</v>
      </c>
      <c r="I97" s="1">
        <v>33.877914734774542</v>
      </c>
      <c r="J97" s="1">
        <v>6.0957743819765318</v>
      </c>
      <c r="K97" s="1">
        <v>1.5095012485274628</v>
      </c>
    </row>
    <row r="98" spans="1:20" x14ac:dyDescent="0.2">
      <c r="A98" t="s">
        <v>5</v>
      </c>
      <c r="B98">
        <v>202104</v>
      </c>
      <c r="C98">
        <v>2021</v>
      </c>
      <c r="D98" t="s">
        <v>7</v>
      </c>
      <c r="E98">
        <v>146</v>
      </c>
      <c r="F98" s="2">
        <v>109.34931506849315</v>
      </c>
      <c r="G98" s="1">
        <v>37.712815431938992</v>
      </c>
      <c r="H98" s="1">
        <v>38.969438356164368</v>
      </c>
      <c r="I98" s="1">
        <v>34.313890833561146</v>
      </c>
      <c r="J98" s="1">
        <v>7.2872735115163554</v>
      </c>
      <c r="K98" s="1">
        <v>2.3772282297068075</v>
      </c>
    </row>
    <row r="99" spans="1:20" x14ac:dyDescent="0.2">
      <c r="A99" t="s">
        <v>5</v>
      </c>
      <c r="B99">
        <v>202202</v>
      </c>
      <c r="C99">
        <v>2022</v>
      </c>
      <c r="D99" t="s">
        <v>6</v>
      </c>
      <c r="E99">
        <v>117</v>
      </c>
      <c r="F99" s="2">
        <v>120.45299145299145</v>
      </c>
      <c r="G99" s="1">
        <v>30.827522333386508</v>
      </c>
      <c r="H99" s="1">
        <v>40.6166495726496</v>
      </c>
      <c r="I99" s="1">
        <v>34.054628687447654</v>
      </c>
      <c r="J99" s="1">
        <v>5.6852164205997733</v>
      </c>
      <c r="K99" s="1">
        <v>1.8461200291569106</v>
      </c>
    </row>
    <row r="101" spans="1:20" x14ac:dyDescent="0.2">
      <c r="A101" t="s">
        <v>5</v>
      </c>
      <c r="B101" t="s">
        <v>6</v>
      </c>
      <c r="E101" s="3">
        <f>SUM(E89,E91,E93,E95,E97,E99)</f>
        <v>532</v>
      </c>
      <c r="F101" s="2">
        <f>(F89*E89+F91*E91+F93*E93+F95*E95+F97*E97+F99*E99)/E101</f>
        <v>121.3609022556391</v>
      </c>
      <c r="G101" s="2">
        <f>(G89*E89+G91*E91+G93*E93+G95*E95+G97*E97+G99*E99)/E101</f>
        <v>30.045519649690533</v>
      </c>
      <c r="H101" s="2">
        <f>(H89*E89+H91*E91+H93*E93+H95*E95+H97*E97+H99*E99)/E101</f>
        <v>45.114351503759394</v>
      </c>
      <c r="I101" s="2">
        <f>(I89*E89+I91*E91+I93*E93+I95*E95+I97*E97+I99*E99)/E101</f>
        <v>35.359176738534003</v>
      </c>
      <c r="J101" s="2">
        <f>(J89*E89+J91*E91+J93*E93+J95*E95+J97*E97+J99*E99)/E101</f>
        <v>5.8994429479493231</v>
      </c>
      <c r="K101" s="2">
        <f>(K89*E89+K91*E91+K93*E93+K95*E95+K97*E97+K99*E99)/E101</f>
        <v>1.7004773325728602</v>
      </c>
      <c r="O101" s="1"/>
      <c r="P101" s="1"/>
      <c r="Q101" s="1"/>
      <c r="R101" s="1"/>
      <c r="S101" s="1"/>
      <c r="T101" s="1"/>
    </row>
    <row r="102" spans="1:20" x14ac:dyDescent="0.2">
      <c r="A102" t="s">
        <v>5</v>
      </c>
      <c r="B102" t="s">
        <v>7</v>
      </c>
      <c r="E102" s="3">
        <f>SUM(E90,E92,E94,E96,E98)</f>
        <v>612</v>
      </c>
      <c r="F102" s="2">
        <f>(F90*E90+F92*E92+F94*E94+F96*E96+F98*E98)/E102</f>
        <v>111.63807189542484</v>
      </c>
      <c r="G102" s="2">
        <f>(G90*E90+G92*E92+G94*E94+G96*E96+G98*E98)/E102</f>
        <v>36.331513472763802</v>
      </c>
      <c r="H102" s="2">
        <f>(H90*E90+H92*E92+H94*E94+H96*E96+H98*E98)/E102</f>
        <v>41.595377450980372</v>
      </c>
      <c r="I102" s="2">
        <f>(I90*E90+I92*E92+I94*E94+I96*E96+I98*E98)/E102</f>
        <v>34.737093058639054</v>
      </c>
      <c r="J102" s="2">
        <f>(J90*E90+J92*E92+J94*E94+J98*E98)/E102</f>
        <v>7.3353516628734994</v>
      </c>
      <c r="K102" s="2">
        <f>(K90*E90+K92*E92+K94*E94+K96*E96+K98*E98)/E102</f>
        <v>2.1057421590979128</v>
      </c>
    </row>
    <row r="103" spans="1:20" x14ac:dyDescent="0.2">
      <c r="A103" t="s">
        <v>5</v>
      </c>
      <c r="B103" t="s">
        <v>19</v>
      </c>
      <c r="E103">
        <v>1144</v>
      </c>
      <c r="F103" s="2">
        <v>116.15952797202797</v>
      </c>
      <c r="G103" s="1">
        <v>34.291722818272589</v>
      </c>
      <c r="H103" s="1">
        <v>43.23182342657342</v>
      </c>
      <c r="I103" s="1">
        <v>35.433136104397626</v>
      </c>
      <c r="J103" s="1">
        <v>6.6676039038353334</v>
      </c>
      <c r="K103" s="1">
        <v>2.1219346582179788</v>
      </c>
    </row>
    <row r="105" spans="1:20" x14ac:dyDescent="0.2">
      <c r="C105" t="s">
        <v>8</v>
      </c>
      <c r="D105" t="s">
        <v>9</v>
      </c>
      <c r="E105" t="s">
        <v>10</v>
      </c>
      <c r="F105" s="2" t="s">
        <v>11</v>
      </c>
      <c r="G105" s="1" t="s">
        <v>12</v>
      </c>
      <c r="H105" s="1" t="s">
        <v>13</v>
      </c>
      <c r="I105" s="1" t="s">
        <v>14</v>
      </c>
      <c r="J105" s="1" t="s">
        <v>20</v>
      </c>
      <c r="K105" s="1" t="s">
        <v>15</v>
      </c>
    </row>
    <row r="106" spans="1:20" x14ac:dyDescent="0.2">
      <c r="A106" t="s">
        <v>17</v>
      </c>
      <c r="B106">
        <v>201702</v>
      </c>
      <c r="C106">
        <v>2017</v>
      </c>
      <c r="D106" t="s">
        <v>6</v>
      </c>
      <c r="E106">
        <v>76</v>
      </c>
      <c r="F106" s="2">
        <v>119.08552631578948</v>
      </c>
      <c r="G106" s="1">
        <v>38.011435836942091</v>
      </c>
      <c r="H106" s="1">
        <v>45.787894736842119</v>
      </c>
      <c r="I106" s="1">
        <v>59.623360574320493</v>
      </c>
      <c r="J106" s="1">
        <v>5.5319612582938262</v>
      </c>
      <c r="K106" s="1">
        <v>0.44234441972827082</v>
      </c>
    </row>
    <row r="107" spans="1:20" x14ac:dyDescent="0.2">
      <c r="A107" t="s">
        <v>17</v>
      </c>
      <c r="B107">
        <v>201704</v>
      </c>
      <c r="C107">
        <v>2017</v>
      </c>
      <c r="D107" t="s">
        <v>7</v>
      </c>
      <c r="E107">
        <v>85</v>
      </c>
      <c r="F107" s="2">
        <v>168.8235294117647</v>
      </c>
      <c r="G107" s="1">
        <v>57.453951845221688</v>
      </c>
      <c r="H107" s="1">
        <v>132.71805882352942</v>
      </c>
      <c r="I107" s="1">
        <v>120.83884236830953</v>
      </c>
      <c r="J107" s="1">
        <v>5.5472733754932122</v>
      </c>
      <c r="K107" s="1">
        <v>0.55847435549191127</v>
      </c>
    </row>
    <row r="108" spans="1:20" x14ac:dyDescent="0.2">
      <c r="A108" t="s">
        <v>17</v>
      </c>
      <c r="B108">
        <v>201802</v>
      </c>
      <c r="C108">
        <v>2018</v>
      </c>
      <c r="D108" t="s">
        <v>6</v>
      </c>
      <c r="E108">
        <v>131</v>
      </c>
      <c r="F108" s="2">
        <v>132.27862595419847</v>
      </c>
      <c r="G108" s="1">
        <v>19.830644535991762</v>
      </c>
      <c r="H108" s="1">
        <v>44.822465648854951</v>
      </c>
      <c r="I108" s="1">
        <v>20.153332046433725</v>
      </c>
      <c r="J108" s="1">
        <v>5.6110201141483582</v>
      </c>
      <c r="K108" s="1">
        <v>0.44169367246307867</v>
      </c>
    </row>
    <row r="109" spans="1:20" x14ac:dyDescent="0.2">
      <c r="A109" t="s">
        <v>17</v>
      </c>
      <c r="B109">
        <v>201804</v>
      </c>
      <c r="C109">
        <v>2018</v>
      </c>
      <c r="D109" t="s">
        <v>7</v>
      </c>
      <c r="E109">
        <v>136</v>
      </c>
      <c r="F109" s="2">
        <v>171.9485294117647</v>
      </c>
      <c r="G109" s="1">
        <v>52.80671532112688</v>
      </c>
      <c r="H109" s="1">
        <v>139.1542352941176</v>
      </c>
      <c r="I109" s="1">
        <v>120.90725720762241</v>
      </c>
      <c r="J109" s="1">
        <v>5.1346243160985736</v>
      </c>
      <c r="K109" s="1">
        <v>0.77561165174879776</v>
      </c>
    </row>
    <row r="110" spans="1:20" x14ac:dyDescent="0.2">
      <c r="A110" t="s">
        <v>17</v>
      </c>
      <c r="B110">
        <v>201902</v>
      </c>
      <c r="C110">
        <v>2019</v>
      </c>
      <c r="D110" t="s">
        <v>6</v>
      </c>
      <c r="E110">
        <v>149</v>
      </c>
      <c r="F110" s="2">
        <v>137.66442953020135</v>
      </c>
      <c r="G110" s="1">
        <v>23.352646339494399</v>
      </c>
      <c r="H110" s="1">
        <v>54.589590604026831</v>
      </c>
      <c r="I110" s="1">
        <v>31.796317837773664</v>
      </c>
      <c r="J110" s="1">
        <v>5.2720396172495541</v>
      </c>
      <c r="K110" s="1">
        <v>0.27494901510476893</v>
      </c>
    </row>
    <row r="111" spans="1:20" x14ac:dyDescent="0.2">
      <c r="A111" t="s">
        <v>17</v>
      </c>
      <c r="B111">
        <v>201904</v>
      </c>
      <c r="C111">
        <v>2019</v>
      </c>
      <c r="D111" t="s">
        <v>7</v>
      </c>
      <c r="E111">
        <v>190</v>
      </c>
      <c r="F111" s="2">
        <v>153.02631578947367</v>
      </c>
      <c r="G111" s="1">
        <v>49.214618447108357</v>
      </c>
      <c r="H111" s="1">
        <v>100.3195736842106</v>
      </c>
      <c r="I111" s="1">
        <v>103.5894403285353</v>
      </c>
      <c r="J111" s="1">
        <v>5.5213433319469996</v>
      </c>
      <c r="K111" s="1">
        <v>0.47791164053377738</v>
      </c>
    </row>
    <row r="112" spans="1:20" x14ac:dyDescent="0.2">
      <c r="A112" t="s">
        <v>17</v>
      </c>
      <c r="B112">
        <v>202002</v>
      </c>
      <c r="C112">
        <v>2020</v>
      </c>
      <c r="D112" t="s">
        <v>6</v>
      </c>
      <c r="E112">
        <v>35</v>
      </c>
      <c r="F112" s="2">
        <v>117</v>
      </c>
      <c r="G112" s="1">
        <v>38.209946349085598</v>
      </c>
      <c r="H112" s="1">
        <v>45.334800000000016</v>
      </c>
      <c r="I112" s="1">
        <v>48.196239249673447</v>
      </c>
      <c r="J112" s="1">
        <v>5.3674761621355502</v>
      </c>
      <c r="K112" s="1">
        <v>0.25287343790422356</v>
      </c>
    </row>
    <row r="113" spans="1:20" x14ac:dyDescent="0.2">
      <c r="A113" t="s">
        <v>17</v>
      </c>
      <c r="B113">
        <v>202004</v>
      </c>
      <c r="C113">
        <v>2020</v>
      </c>
      <c r="D113" t="s">
        <v>7</v>
      </c>
    </row>
    <row r="114" spans="1:20" x14ac:dyDescent="0.2">
      <c r="A114" t="s">
        <v>17</v>
      </c>
      <c r="B114">
        <v>202102</v>
      </c>
      <c r="C114">
        <v>2021</v>
      </c>
      <c r="D114" t="s">
        <v>6</v>
      </c>
      <c r="E114">
        <v>109</v>
      </c>
      <c r="F114" s="2">
        <v>142.1743119266055</v>
      </c>
      <c r="G114" s="1">
        <v>36.910513416634799</v>
      </c>
      <c r="H114" s="1">
        <v>73.110844036697273</v>
      </c>
      <c r="I114" s="1">
        <v>63.723126280980161</v>
      </c>
      <c r="J114" s="1">
        <v>5.4748722228599735</v>
      </c>
      <c r="K114" s="1">
        <v>0.32604516176959258</v>
      </c>
    </row>
    <row r="115" spans="1:20" x14ac:dyDescent="0.2">
      <c r="A115" t="s">
        <v>17</v>
      </c>
      <c r="B115">
        <v>202104</v>
      </c>
      <c r="C115">
        <v>2021</v>
      </c>
      <c r="D115" t="s">
        <v>7</v>
      </c>
      <c r="E115">
        <v>102</v>
      </c>
      <c r="F115" s="2">
        <v>150.9607843137255</v>
      </c>
      <c r="G115" s="1">
        <v>50.942196240391951</v>
      </c>
      <c r="H115" s="1">
        <v>102.51140196078431</v>
      </c>
      <c r="I115" s="1">
        <v>98.985852620738925</v>
      </c>
      <c r="J115" s="1">
        <v>5.5900475069507696</v>
      </c>
      <c r="K115" s="1">
        <v>0.45535518795755958</v>
      </c>
    </row>
    <row r="116" spans="1:20" x14ac:dyDescent="0.2">
      <c r="A116" t="s">
        <v>17</v>
      </c>
      <c r="B116">
        <v>202202</v>
      </c>
      <c r="C116">
        <v>2022</v>
      </c>
      <c r="D116" t="s">
        <v>6</v>
      </c>
      <c r="E116">
        <v>63</v>
      </c>
      <c r="F116" s="2">
        <v>122.15873015873017</v>
      </c>
      <c r="G116" s="1">
        <v>31.96227935531665</v>
      </c>
      <c r="H116" s="1">
        <v>46.111714285714271</v>
      </c>
      <c r="I116" s="1">
        <v>30.879326715995312</v>
      </c>
      <c r="J116" s="1">
        <v>5.3601574982954379</v>
      </c>
      <c r="K116" s="1">
        <v>0.25394514122079759</v>
      </c>
    </row>
    <row r="118" spans="1:20" x14ac:dyDescent="0.2">
      <c r="A118" t="s">
        <v>17</v>
      </c>
      <c r="B118" t="s">
        <v>6</v>
      </c>
      <c r="E118" s="3">
        <f>SUM(E106,E108,E110,E112,E114,E116)</f>
        <v>563</v>
      </c>
      <c r="F118" s="2">
        <f>(F106*E106+F108*E108+F110*E110+F112*E112+F114*E114+F116*E116)/E118</f>
        <v>131.75666074600355</v>
      </c>
      <c r="G118" s="2">
        <f>(G106*E106+G108*E108+G110*E110+G112*E112+G114*E114+G116*E116)/E118</f>
        <v>29.023881965227933</v>
      </c>
      <c r="H118" s="2">
        <f>(H106*E106+H108*E108+H110*E110+H112*E112+H114*E114+H116*E116)/E118</f>
        <v>53.190603907637659</v>
      </c>
      <c r="I118" s="2">
        <f>(I106*E106+I108*E108+I110*E110+I112*E112+I114*E114+I116*E116)/E118</f>
        <v>39.94174064126566</v>
      </c>
      <c r="J118" s="2">
        <f>(J106*E106+J108*E108+J110*E110+J112*E112+J114*E114+J116*E116)/E118</f>
        <v>5.4410643941617103</v>
      </c>
      <c r="K118" s="2">
        <f>(K106*E106+K108*E108+K110*E110+K112*E112+K114*E114+K116*E116)/E118</f>
        <v>0.3425141866768493</v>
      </c>
      <c r="O118" s="1"/>
      <c r="P118" s="1"/>
      <c r="Q118" s="1"/>
      <c r="R118" s="1"/>
      <c r="S118" s="1"/>
      <c r="T118" s="1"/>
    </row>
    <row r="119" spans="1:20" x14ac:dyDescent="0.2">
      <c r="A119" t="s">
        <v>17</v>
      </c>
      <c r="B119" t="s">
        <v>7</v>
      </c>
      <c r="E119" s="3">
        <f>SUM(E107,E109,E111,E113,E115)</f>
        <v>513</v>
      </c>
      <c r="F119" s="2">
        <f>(F107*E107+F109*E109+F111*E111+F113*E113+F115*E115)/E119</f>
        <v>160.24951267056531</v>
      </c>
      <c r="G119" s="2">
        <f>(G107*E107+G109*E109+G111*E111+G113*E113+G115*E115)/E119</f>
        <v>51.875595929800525</v>
      </c>
      <c r="H119" s="2">
        <f>(H107*E107+H109*E109+H111*E111+H113*E113+H115*E115)/E119</f>
        <v>116.41889473684212</v>
      </c>
      <c r="I119" s="2">
        <f>(I107*E107+I109*E109+I111*E111+I113*E113+I115*E115)/E119</f>
        <v>110.12327331633534</v>
      </c>
      <c r="J119" s="2">
        <f>(J107*E107+J109*E109+J111*E111+J115*E115)/E119</f>
        <v>5.4367782118620624</v>
      </c>
      <c r="K119" s="2">
        <f>(K107*E107+K109*E109+K111*E111+K113*E113+K115*E115)/E119</f>
        <v>0.56569774995660382</v>
      </c>
    </row>
    <row r="120" spans="1:20" x14ac:dyDescent="0.2">
      <c r="A120" t="s">
        <v>17</v>
      </c>
      <c r="B120" t="s">
        <v>19</v>
      </c>
      <c r="E120">
        <v>1076</v>
      </c>
      <c r="F120" s="2">
        <v>145.34107806691449</v>
      </c>
      <c r="G120" s="1">
        <v>45.012787065397632</v>
      </c>
      <c r="H120" s="1">
        <v>83.335690520446136</v>
      </c>
      <c r="I120" s="1">
        <v>89.237858530850247</v>
      </c>
      <c r="J120" s="1">
        <v>5.4390208890318616</v>
      </c>
      <c r="K120" s="1">
        <v>0.49837816264419454</v>
      </c>
    </row>
    <row r="122" spans="1:20" x14ac:dyDescent="0.2">
      <c r="C122" t="s">
        <v>8</v>
      </c>
      <c r="D122" t="s">
        <v>9</v>
      </c>
      <c r="E122" t="s">
        <v>10</v>
      </c>
      <c r="F122" s="2" t="s">
        <v>11</v>
      </c>
      <c r="G122" s="1" t="s">
        <v>12</v>
      </c>
      <c r="H122" s="1" t="s">
        <v>13</v>
      </c>
      <c r="I122" s="1" t="s">
        <v>14</v>
      </c>
      <c r="J122" s="1" t="s">
        <v>20</v>
      </c>
      <c r="K122" s="1" t="s">
        <v>15</v>
      </c>
    </row>
    <row r="123" spans="1:20" x14ac:dyDescent="0.2">
      <c r="A123" t="s">
        <v>18</v>
      </c>
      <c r="B123">
        <v>201702</v>
      </c>
      <c r="C123">
        <v>2017</v>
      </c>
      <c r="D123" t="s">
        <v>6</v>
      </c>
      <c r="E123">
        <v>105</v>
      </c>
      <c r="F123" s="2">
        <v>103.94285714285714</v>
      </c>
      <c r="G123" s="1">
        <v>42.839891674481599</v>
      </c>
      <c r="H123" s="1">
        <v>40.172409523809534</v>
      </c>
      <c r="I123" s="1">
        <v>39.660436979655366</v>
      </c>
      <c r="J123" s="1">
        <v>5.2553115828456454</v>
      </c>
      <c r="K123" s="1">
        <v>0.38685724392621834</v>
      </c>
    </row>
    <row r="124" spans="1:20" x14ac:dyDescent="0.2">
      <c r="A124" t="s">
        <v>18</v>
      </c>
      <c r="B124">
        <v>201704</v>
      </c>
      <c r="C124">
        <v>2017</v>
      </c>
      <c r="D124" t="s">
        <v>7</v>
      </c>
      <c r="E124">
        <v>104</v>
      </c>
      <c r="F124" s="2">
        <v>109.30288461538461</v>
      </c>
      <c r="G124" s="1">
        <v>41.91961900611247</v>
      </c>
      <c r="H124" s="1">
        <v>49.618230769230777</v>
      </c>
      <c r="I124" s="1">
        <v>45.201247932603302</v>
      </c>
      <c r="J124" s="1">
        <v>5.2571225330993148</v>
      </c>
      <c r="K124" s="1">
        <v>0.24005347532515675</v>
      </c>
    </row>
    <row r="125" spans="1:20" x14ac:dyDescent="0.2">
      <c r="A125" t="s">
        <v>18</v>
      </c>
      <c r="B125">
        <v>201802</v>
      </c>
      <c r="C125">
        <v>2018</v>
      </c>
      <c r="D125" t="s">
        <v>6</v>
      </c>
      <c r="E125">
        <v>109</v>
      </c>
      <c r="F125" s="2">
        <v>133.66055045871559</v>
      </c>
      <c r="G125" s="1">
        <v>55.279671131754483</v>
      </c>
      <c r="H125" s="1">
        <v>76.369275229357797</v>
      </c>
      <c r="I125" s="1">
        <v>64.066919251420146</v>
      </c>
      <c r="J125" s="1">
        <v>4.9476671156772021</v>
      </c>
      <c r="K125" s="1">
        <v>0.54331034639680353</v>
      </c>
    </row>
    <row r="126" spans="1:20" x14ac:dyDescent="0.2">
      <c r="A126" t="s">
        <v>18</v>
      </c>
      <c r="B126">
        <v>201804</v>
      </c>
      <c r="C126">
        <v>2018</v>
      </c>
      <c r="D126" t="s">
        <v>7</v>
      </c>
      <c r="E126">
        <v>180</v>
      </c>
      <c r="F126" s="2">
        <v>81.797222222222217</v>
      </c>
      <c r="G126" s="1">
        <v>37.04925368944366</v>
      </c>
      <c r="H126" s="1">
        <v>26.831116666666656</v>
      </c>
      <c r="I126" s="1">
        <v>27.981423681294768</v>
      </c>
      <c r="J126" s="1">
        <v>5.1630897921697008</v>
      </c>
      <c r="K126" s="1">
        <v>0.55146975011695365</v>
      </c>
    </row>
    <row r="127" spans="1:20" x14ac:dyDescent="0.2">
      <c r="A127" t="s">
        <v>18</v>
      </c>
      <c r="B127">
        <v>201902</v>
      </c>
      <c r="C127">
        <v>2019</v>
      </c>
      <c r="D127" t="s">
        <v>6</v>
      </c>
      <c r="E127">
        <v>120</v>
      </c>
      <c r="F127" s="2">
        <v>168.04166666666666</v>
      </c>
      <c r="G127" s="1">
        <v>53.813777223380427</v>
      </c>
      <c r="H127" s="1">
        <v>119.06708333333333</v>
      </c>
      <c r="I127" s="1">
        <v>75.876218290008325</v>
      </c>
      <c r="J127" s="1">
        <v>5.092356970279508</v>
      </c>
      <c r="K127" s="1">
        <v>0.18533314073256202</v>
      </c>
    </row>
    <row r="128" spans="1:20" x14ac:dyDescent="0.2">
      <c r="A128" t="s">
        <v>18</v>
      </c>
      <c r="B128">
        <v>201904</v>
      </c>
      <c r="C128">
        <v>2019</v>
      </c>
      <c r="D128" t="s">
        <v>7</v>
      </c>
      <c r="E128">
        <v>189</v>
      </c>
      <c r="F128" s="2">
        <v>113.85714285714286</v>
      </c>
      <c r="G128" s="1">
        <v>49.180364035730044</v>
      </c>
      <c r="H128" s="1">
        <v>57.081031746031769</v>
      </c>
      <c r="I128" s="1">
        <v>56.340312885076735</v>
      </c>
      <c r="J128" s="1">
        <v>5.188850073293291</v>
      </c>
      <c r="K128" s="1">
        <v>0.20943495514692392</v>
      </c>
    </row>
    <row r="129" spans="1:20" x14ac:dyDescent="0.2">
      <c r="A129" t="s">
        <v>18</v>
      </c>
      <c r="B129">
        <v>202002</v>
      </c>
      <c r="C129">
        <v>2020</v>
      </c>
      <c r="D129" t="s">
        <v>6</v>
      </c>
      <c r="E129">
        <v>44</v>
      </c>
      <c r="F129" s="2">
        <v>133.86363636363637</v>
      </c>
      <c r="G129" s="1">
        <v>55.148674701692194</v>
      </c>
      <c r="H129" s="1">
        <v>81.072863636363621</v>
      </c>
      <c r="I129" s="1">
        <v>65.246340993938176</v>
      </c>
      <c r="J129" s="1">
        <v>4.9794971485558115</v>
      </c>
      <c r="K129" s="1">
        <v>0.16666548359946215</v>
      </c>
    </row>
    <row r="130" spans="1:20" x14ac:dyDescent="0.2">
      <c r="A130" t="s">
        <v>18</v>
      </c>
      <c r="B130">
        <v>202004</v>
      </c>
      <c r="C130">
        <v>2020</v>
      </c>
      <c r="D130" t="s">
        <v>7</v>
      </c>
    </row>
    <row r="131" spans="1:20" x14ac:dyDescent="0.2">
      <c r="A131" t="s">
        <v>18</v>
      </c>
      <c r="B131">
        <v>202102</v>
      </c>
      <c r="C131">
        <v>2021</v>
      </c>
      <c r="D131" t="s">
        <v>6</v>
      </c>
      <c r="E131">
        <v>95</v>
      </c>
      <c r="F131" s="2">
        <v>160.46315789473684</v>
      </c>
      <c r="G131" s="1">
        <v>64.678716701685815</v>
      </c>
      <c r="H131" s="1">
        <v>106.40484210526314</v>
      </c>
      <c r="I131" s="1">
        <v>77.147731179021449</v>
      </c>
      <c r="J131" s="1">
        <v>5.1397230667702667</v>
      </c>
      <c r="K131" s="1">
        <v>0.22057881062439919</v>
      </c>
    </row>
    <row r="132" spans="1:20" x14ac:dyDescent="0.2">
      <c r="A132" t="s">
        <v>18</v>
      </c>
      <c r="B132">
        <v>202104</v>
      </c>
      <c r="C132">
        <v>2021</v>
      </c>
      <c r="D132" t="s">
        <v>7</v>
      </c>
      <c r="E132">
        <v>95</v>
      </c>
      <c r="F132" s="2">
        <v>141.33684210526314</v>
      </c>
      <c r="G132" s="1">
        <v>70.125208768425267</v>
      </c>
      <c r="H132" s="1">
        <v>101.3503157894737</v>
      </c>
      <c r="I132" s="1">
        <v>91.063366010457443</v>
      </c>
      <c r="J132" s="1">
        <v>5.2463493951992666</v>
      </c>
      <c r="K132" s="1">
        <v>0.18198770701839109</v>
      </c>
    </row>
    <row r="133" spans="1:20" x14ac:dyDescent="0.2">
      <c r="A133" t="s">
        <v>18</v>
      </c>
      <c r="B133">
        <v>202202</v>
      </c>
      <c r="C133">
        <v>2022</v>
      </c>
      <c r="D133" t="s">
        <v>6</v>
      </c>
      <c r="E133">
        <v>88</v>
      </c>
      <c r="F133" s="2">
        <v>133.71590909090909</v>
      </c>
      <c r="G133" s="1">
        <v>63.569664720897123</v>
      </c>
      <c r="H133" s="1">
        <v>84.560999999999979</v>
      </c>
      <c r="I133" s="1">
        <v>86.254662502263074</v>
      </c>
      <c r="J133" s="1">
        <v>5.1144582732984034</v>
      </c>
      <c r="K133" s="1">
        <v>0.18282759131042672</v>
      </c>
    </row>
    <row r="135" spans="1:20" x14ac:dyDescent="0.2">
      <c r="A135" t="s">
        <v>18</v>
      </c>
      <c r="B135" t="s">
        <v>6</v>
      </c>
      <c r="E135" s="3">
        <f>SUM(E123,E125,E127,E129,E131,E133)</f>
        <v>561</v>
      </c>
      <c r="F135" s="2">
        <f>(F123*E123+F125*E125+F127*E127+F129*E129+F131*E131+F133*E133)/E135</f>
        <v>140.01604278074868</v>
      </c>
      <c r="G135" s="2">
        <f>(G123*E123+G125*E125+G127*E127+G129*E129+G131*E131+G133*E133)/E135</f>
        <v>55.519565623816426</v>
      </c>
      <c r="H135" s="2">
        <f>(H123*E123+H125*E125+H127*E127+H129*E129+H131*E131+H133*E133)/E135</f>
        <v>85.467803921568617</v>
      </c>
      <c r="I135" s="2">
        <f>(I123*E123+I125*E125+I127*E127+I129*E129+I131*E131+I133*E133)/E135</f>
        <v>67.812959076665024</v>
      </c>
      <c r="J135" s="2">
        <f>(J123*E123+J125*E125+J127*E127+J129*E129+J131*E131+J133*E133)/E135</f>
        <v>5.0973799682193208</v>
      </c>
      <c r="K135" s="2">
        <f>(K123*E123+K125*E125+K127*E127+K129*E129+K131*E131+K133*E133)/E135</f>
        <v>0.29671641992945419</v>
      </c>
      <c r="O135" s="1"/>
      <c r="P135" s="1"/>
      <c r="Q135" s="1"/>
      <c r="R135" s="1"/>
      <c r="S135" s="1"/>
      <c r="T135" s="1"/>
    </row>
    <row r="136" spans="1:20" x14ac:dyDescent="0.2">
      <c r="A136" t="s">
        <v>18</v>
      </c>
      <c r="B136" t="s">
        <v>7</v>
      </c>
      <c r="E136" s="3">
        <f>SUM(E124,E126,E128,E130,E132)</f>
        <v>568</v>
      </c>
      <c r="F136" s="2">
        <f>(F124*E124+F126*E126+F128*E128+F130*E130+F132*E132)/E136</f>
        <v>107.45950704225352</v>
      </c>
      <c r="G136" s="2">
        <f>(G124*E124+G126*E126+G128*E128+G130*E130+G132*E132)/E136</f>
        <v>47.509664923396009</v>
      </c>
      <c r="H136" s="2">
        <f>(H124*E124+H126*E126+H128*E128+H130*E130+H132*E132)/E136</f>
        <v>53.532556338028179</v>
      </c>
      <c r="I136" s="2">
        <f>(I124*E124+I126*E126+I128*E128+I130*E130+I132*E132)/E136</f>
        <v>51.121346749818244</v>
      </c>
      <c r="J136" s="2">
        <f>(J124*E124+J126*E126+J128*E128+J132*E132)/E136</f>
        <v>5.2028041592064032</v>
      </c>
      <c r="K136" s="2">
        <f>(K124*E124+K126*E126+K128*E128+K130*E130+K132*E132)/E136</f>
        <v>0.31884182243729525</v>
      </c>
    </row>
    <row r="137" spans="1:20" x14ac:dyDescent="0.2">
      <c r="A137" t="s">
        <v>18</v>
      </c>
      <c r="B137" t="s">
        <v>19</v>
      </c>
      <c r="E137">
        <v>1129</v>
      </c>
      <c r="F137" s="2">
        <v>123.63684676705049</v>
      </c>
      <c r="G137" s="1">
        <v>58.798132593061879</v>
      </c>
      <c r="H137" s="1">
        <v>69.401178033658113</v>
      </c>
      <c r="I137" s="1">
        <v>69.499751748709755</v>
      </c>
      <c r="J137" s="1">
        <v>5.1504188880427515</v>
      </c>
      <c r="K137" s="1">
        <v>0.35450170889248006</v>
      </c>
    </row>
    <row r="139" spans="1:20" x14ac:dyDescent="0.2">
      <c r="B139" t="s">
        <v>1</v>
      </c>
      <c r="E139">
        <f>E137+E120+E103+E86+E69+E52+E35+E18</f>
        <v>7807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NEFSC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Mark.Wuenschel</dc:creator>
  <cp:lastModifiedBy>Nate Hermann</cp:lastModifiedBy>
  <dcterms:created xsi:type="dcterms:W3CDTF">2020-12-11T20:37:18Z</dcterms:created>
  <dcterms:modified xsi:type="dcterms:W3CDTF">2023-02-23T19:21:11Z</dcterms:modified>
</cp:coreProperties>
</file>